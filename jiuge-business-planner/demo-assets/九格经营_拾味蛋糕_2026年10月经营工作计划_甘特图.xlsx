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6cdd2c2a1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诊断" sheetId="1" r:id="R7aa0255b8b4640b9"/>
    <x:sheet xmlns:r="http://schemas.openxmlformats.org/officeDocument/2006/relationships" name="10月工作计划" sheetId="2" r:id="R190349e54781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yyyy-mm-dd"/>
    <x:numFmt numFmtId="202" formatCode="d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1815"/>
      <x:name val="Carlito"/>
    </x:font>
    <x:font>
      <x:b/>
      <x:sz val="11"/>
      <x:color rgb="FF174B8A"/>
      <x:name val="Carlito"/>
    </x:font>
    <x:font>
      <x:sz val="11"/>
      <x:color rgb="FF276FE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1815"/>
      </x:patternFill>
    </x:fill>
    <x:fill>
      <x:patternFill patternType="solid">
        <x:fgColor rgb="FF276FE8"/>
      </x:patternFill>
    </x:fill>
    <x:fill>
      <x:patternFill patternType="solid">
        <x:fgColor rgb="FFF2C94C"/>
      </x:patternFill>
    </x:fill>
    <x:fill>
      <x:patternFill patternType="solid">
        <x:fgColor rgb="FFEAF1FF"/>
      </x:patternFill>
    </x:fill>
  </x:fills>
  <x:borders count="16">
    <x:border/>
    <x:border>
      <x:right style="thin">
        <x:color rgb="FFD8DAD5"/>
      </x:right>
      <x:bottom style="thin">
        <x:color rgb="FFD8DAD5"/>
      </x:bottom>
    </x:border>
    <x:border>
      <x:left style="thin">
        <x:color rgb="FFD8DAD5"/>
      </x:left>
      <x:right style="thin">
        <x:color rgb="FFD8DAD5"/>
      </x:right>
      <x:bottom style="thin">
        <x:color rgb="FFD8DAD5"/>
      </x:bottom>
    </x:border>
    <x:border>
      <x:left style="thin">
        <x:color rgb="FFD8DAD5"/>
      </x:left>
      <x:bottom style="thin">
        <x:color rgb="FFD8DAD5"/>
      </x:bottom>
    </x:border>
    <x:border>
      <x:right style="thin">
        <x:color rgb="FFD8DAD5"/>
      </x:right>
      <x:top style="thin">
        <x:color rgb="FFD8DAD5"/>
      </x:top>
      <x:bottom style="thin">
        <x:color rgb="FFD8DAD5"/>
      </x:bottom>
    </x:border>
    <x:border>
      <x:left style="thin">
        <x:color rgb="FFD8DAD5"/>
      </x:left>
      <x:right style="thin">
        <x:color rgb="FFD8DAD5"/>
      </x:right>
      <x:top style="thin">
        <x:color rgb="FFD8DAD5"/>
      </x:top>
      <x:bottom style="thin">
        <x:color rgb="FFD8DAD5"/>
      </x:bottom>
    </x:border>
    <x:border>
      <x:left style="thin">
        <x:color rgb="FFD8DAD5"/>
      </x:left>
      <x:top style="thin">
        <x:color rgb="FFD8DAD5"/>
      </x:top>
      <x:bottom style="thin">
        <x:color rgb="FFD8DAD5"/>
      </x:bottom>
    </x:border>
    <x:border>
      <x:right style="thin">
        <x:color rgb="FFD8DAD5"/>
      </x:right>
      <x:top style="thin">
        <x:color rgb="FFD8DAD5"/>
      </x:top>
    </x:border>
    <x:border>
      <x:left style="thin">
        <x:color rgb="FFD8DAD5"/>
      </x:left>
      <x:right style="thin">
        <x:color rgb="FFD8DAD5"/>
      </x:right>
      <x:top style="thin">
        <x:color rgb="FFD8DAD5"/>
      </x:top>
    </x:border>
    <x:border>
      <x:left style="thin">
        <x:color rgb="FFD8DAD5"/>
      </x:left>
      <x:top style="thin">
        <x:color rgb="FFD8DAD5"/>
      </x:top>
    </x:border>
    <x:border>
      <x:bottom style="thin">
        <x:color rgb="FFD8DAD5"/>
      </x:bottom>
    </x:border>
    <x:border>
      <x:top style="thin">
        <x:color rgb="FFD8DAD5"/>
      </x:top>
      <x:bottom style="thin">
        <x:color rgb="FFD8DAD5"/>
      </x:bottom>
    </x:border>
    <x:border>
      <x:top style="thin">
        <x:color rgb="FFD8DAD5"/>
      </x:top>
    </x:border>
    <x:border>
      <x:right style="thin">
        <x:color rgb="FFB9CEF6"/>
      </x:right>
    </x:border>
    <x:border>
      <x:left style="thin">
        <x:color rgb="FFB9CEF6"/>
      </x:left>
      <x:right style="thin">
        <x:color rgb="FFB9CEF6"/>
      </x:right>
    </x:border>
    <x:border>
      <x:left style="thin">
        <x:color rgb="FFB9CEF6"/>
      </x:left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0" borderId="10" xfId="0" applyNumberFormat="1" applyFont="1" applyFill="1" applyBorder="1"/>
    <x:xf numFmtId="201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12" xfId="0" applyNumberFormat="1" applyFont="1" applyFill="1" applyBorder="1"/>
    <x:xf numFmtId="201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201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5" xfId="0" applyNumberFormat="1" applyFont="1" applyFill="1" applyBorder="1" applyAlignment="1">
      <x:alignment horizont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202" fontId="2" fillId="3" borderId="14" xfId="0" applyNumberFormat="1" applyFont="1" applyFill="1" applyBorder="1" applyAlignment="1">
      <x:alignment horizontal="center" vertical="center" wrapText="1"/>
    </x:xf>
    <x:xf numFmtId="202" fontId="2" fillId="3" borderId="15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203" fontId="0" fillId="0" borderId="10" xfId="0" applyNumberFormat="1" applyFont="1" applyFill="1" applyBorder="1"/>
    <x:xf numFmtId="203" fontId="0" fillId="0" borderId="11" xfId="0" applyNumberFormat="1" applyFont="1" applyFill="1" applyBorder="1"/>
    <x:xf numFmtId="203" fontId="0" fillId="0" borderId="12" xfId="0" applyNumberFormat="1" applyFont="1" applyFill="1" applyBorder="1"/>
    <x:xf numFmtId="203" fontId="0" fillId="0" borderId="10" xfId="0" applyNumberFormat="1" applyFont="1" applyFill="1" applyBorder="1" applyAlignment="1">
      <x:alignment wrapText="1"/>
    </x:xf>
    <x:xf numFmtId="203" fontId="0" fillId="0" borderId="11" xfId="0" applyNumberFormat="1" applyFont="1" applyFill="1" applyBorder="1" applyAlignment="1">
      <x:alignment wrapText="1"/>
    </x:xf>
    <x:xf numFmtId="203" fontId="0" fillId="0" borderId="1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vertical="top" wrapText="1"/>
    </x:xf>
    <x:xf numFmtId="203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3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203" fontId="0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276FE8"/>
      </x:font>
      <x:fill>
        <x:patternFill patternType="solid">
          <x:bgColor rgb="FF276F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3b4865a8a4eb0" /><Relationship Type="http://schemas.openxmlformats.org/officeDocument/2006/relationships/theme" Target="/xl/theme/theme1.xml" Id="R98cff6fc78444fbb" /><Relationship Type="http://schemas.openxmlformats.org/officeDocument/2006/relationships/sharedStrings" Target="/xl/sharedStrings.xml" Id="R270c516fa2a5428d" /><Relationship Type="http://schemas.openxmlformats.org/officeDocument/2006/relationships/worksheet" Target="/xl/worksheets/sheet1.xml" Id="R7aa0255b8b4640b9" /><Relationship Type="http://schemas.openxmlformats.org/officeDocument/2006/relationships/worksheet" Target="/xl/worksheets/sheet2.xml" Id="R190349e5478145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30" hidden="0" customWidth="1"/>
    <x:col min="4" max="4" width="17" hidden="0" customWidth="1"/>
    <x:col min="5" max="5" width="22" hidden="0" customWidth="1"/>
    <x:col min="6" max="6" width="34" hidden="0" customWidth="1"/>
  </x:cols>
  <x:sheetData>
    <x:row r="1" ht="32" customHeight="1">
      <x:c r="A1" s="3" t="str">
        <x:v>蛋糕品牌经营诊断｜2026 年 10 月</x:v>
      </x:c>
      <x:c r="B1" s="3"/>
      <x:c r="C1" s="3"/>
      <x:c r="D1" s="3"/>
      <x:c r="E1" s="3"/>
      <x:c r="F1" s="3"/>
    </x:row>
    <x:row r="3">
      <x:c r="A3" s="21" t="str">
        <x:v>诊断维度</x:v>
      </x:c>
      <x:c r="B3" s="21" t="str">
        <x:v>结论</x:v>
      </x:c>
      <x:c r="C3" s="21" t="str">
        <x:v>事实 / 口径</x:v>
      </x:c>
      <x:c r="D3" s="21" t="str">
        <x:v>数值</x:v>
      </x:c>
      <x:c r="E3" s="21" t="str">
        <x:v>校验</x:v>
      </x:c>
      <x:c r="F3" s="21" t="str">
        <x:v>备注</x:v>
      </x:c>
    </x:row>
    <x:row r="4">
      <x:c r="A4" s="22" t="str">
        <x:v>城市市场</x:v>
      </x:c>
      <x:c r="B4" s="23" t="str">
        <x:v>中线市场</x:v>
      </x:c>
      <x:c r="C4" s="23" t="str">
        <x:v>徐州</x:v>
      </x:c>
      <x:c r="D4" s="23"/>
      <x:c r="E4" s="23" t="str">
        <x:v>中线市场匹配</x:v>
      </x:c>
      <x:c r="F4" s="24" t="str">
        <x:v>经营规划分类，不等同于行政级别</x:v>
      </x:c>
    </x:row>
    <x:row r="5">
      <x:c r="A5" s="25" t="str">
        <x:v>综合阶段</x:v>
      </x:c>
      <x:c r="B5" s="26" t="str">
        <x:v>1-10 成长</x:v>
      </x:c>
      <x:c r="C5" s="26" t="str">
        <x:v>非连锁｜1 店｜月营收 10-30 万</x:v>
      </x:c>
      <x:c r="D5" s="26"/>
      <x:c r="E5" s="26" t="str">
        <x:v>由城市、营业额、形态和门店数综合判断</x:v>
      </x:c>
      <x:c r="F5" s="27" t="str">
        <x:v>基于客观经营信息自动判断</x:v>
      </x:c>
    </x:row>
    <x:row r="6">
      <x:c r="A6" s="25" t="str">
        <x:v>主策略</x:v>
      </x:c>
      <x:c r="B6" s="26" t="str">
        <x:v>区域首选</x:v>
      </x:c>
      <x:c r="C6" s="26" t="str">
        <x:v>中线市场 × 1-10 成长</x:v>
      </x:c>
      <x:c r="D6" s="26"/>
      <x:c r="E6" s="26" t="str">
        <x:v>九宫格</x:v>
      </x:c>
      <x:c r="F6" s="27"/>
    </x:row>
    <x:row r="7">
      <x:c r="A7" s="25" t="str">
        <x:v>渠道阶段</x:v>
      </x:c>
      <x:c r="B7" s="26" t="str">
        <x:v>多渠道齐全</x:v>
      </x:c>
      <x:c r="C7" s="26" t="str">
        <x:v>由各渠道营业额占比判断</x:v>
      </x:c>
      <x:c r="D7" s="26"/>
      <x:c r="E7" s="26" t="str">
        <x:v>营收结构</x:v>
      </x:c>
      <x:c r="F7" s="27"/>
    </x:row>
    <x:row r="8">
      <x:c r="A8" s="25" t="str">
        <x:v>首要经营问题</x:v>
      </x:c>
      <x:c r="B8" s="26" t="str">
        <x:v>新客和进店客流不足</x:v>
      </x:c>
      <x:c r="C8" s="26"/>
      <x:c r="D8" s="26"/>
      <x:c r="E8" s="26" t="str">
        <x:v>用户单选</x:v>
      </x:c>
      <x:c r="F8" s="27" t="str">
        <x:v>必须进入策略关键动作</x:v>
      </x:c>
    </x:row>
    <x:row r="9">
      <x:c r="A9" s="25" t="str">
        <x:v>关键动作</x:v>
      </x:c>
      <x:c r="B9" s="26" t="str">
        <x:v>围绕当月上新组合小红书种草、私域裂变和低价流量品承接新客</x:v>
      </x:c>
      <x:c r="C9" s="26"/>
      <x:c r="D9" s="26"/>
      <x:c r="E9" s="26" t="str">
        <x:v>问题驱动</x:v>
      </x:c>
      <x:c r="F9" s="27"/>
    </x:row>
    <x:row r="10">
      <x:c r="A10" s="28" t="str">
        <x:v>主攻引擎</x:v>
      </x:c>
      <x:c r="B10" s="29" t="str">
        <x:v>产品与利润、拉新获客</x:v>
      </x:c>
      <x:c r="C10" s="29"/>
      <x:c r="D10" s="29"/>
      <x:c r="E10" s="29" t="str">
        <x:v>最多两项</x:v>
      </x:c>
      <x:c r="F10" s="30"/>
    </x:row>
    <x:row r="11">
      <x:c r="A11" s="31" t="str"/>
      <x:c r="B11" s="31" t="str"/>
      <x:c r="C11" s="31" t="str"/>
      <x:c r="D11" s="31" t="str"/>
      <x:c r="E11" s="31" t="str"/>
      <x:c r="F11" s="31" t="str"/>
    </x:row>
    <x:row r="12">
      <x:c r="A12" s="32" t="str">
        <x:v>渠道</x:v>
      </x:c>
      <x:c r="B12" s="32" t="str">
        <x:v>营业额占比</x:v>
      </x:c>
      <x:c r="C12" s="32" t="str"/>
      <x:c r="D12" s="32" t="str"/>
      <x:c r="E12" s="32" t="str"/>
      <x:c r="F12" s="32" t="str"/>
    </x:row>
    <x:row r="13">
      <x:c r="A13" s="22" t="str">
        <x:v>自有小程序</x:v>
      </x:c>
      <x:c r="B13" s="33" t="n">
        <x:v>0.45</x:v>
      </x:c>
      <x:c r="C13" s="23" t="str"/>
      <x:c r="D13" s="23" t="str"/>
      <x:c r="E13" s="23"/>
      <x:c r="F13" s="24" t="str"/>
    </x:row>
    <x:row r="14">
      <x:c r="A14" s="25" t="str">
        <x:v>美团外卖</x:v>
      </x:c>
      <x:c r="B14" s="34" t="n">
        <x:v>0.2</x:v>
      </x:c>
      <x:c r="C14" s="26" t="str"/>
      <x:c r="D14" s="26" t="str"/>
      <x:c r="E14" s="26"/>
      <x:c r="F14" s="27" t="str"/>
    </x:row>
    <x:row r="15">
      <x:c r="A15" s="25" t="str">
        <x:v>闪购外卖</x:v>
      </x:c>
      <x:c r="B15" s="34" t="n">
        <x:v>0</x:v>
      </x:c>
      <x:c r="C15" s="26" t="str"/>
      <x:c r="D15" s="26" t="str"/>
      <x:c r="E15" s="26"/>
      <x:c r="F15" s="27" t="str"/>
    </x:row>
    <x:row r="16">
      <x:c r="A16" s="25" t="str">
        <x:v>美团团购</x:v>
      </x:c>
      <x:c r="B16" s="34" t="n">
        <x:v>0.15</x:v>
      </x:c>
      <x:c r="C16" s="26" t="str"/>
      <x:c r="D16" s="26" t="str"/>
      <x:c r="E16" s="26"/>
      <x:c r="F16" s="27" t="str"/>
    </x:row>
    <x:row r="17">
      <x:c r="A17" s="25" t="str">
        <x:v>抖音团购</x:v>
      </x:c>
      <x:c r="B17" s="34" t="n">
        <x:v>0.1</x:v>
      </x:c>
      <x:c r="C17" s="26" t="str"/>
      <x:c r="D17" s="26" t="str"/>
      <x:c r="E17" s="26"/>
      <x:c r="F17" s="27" t="str"/>
    </x:row>
    <x:row r="18">
      <x:c r="A18" s="28" t="str">
        <x:v>其他渠道</x:v>
      </x:c>
      <x:c r="B18" s="35" t="n">
        <x:v>0.1</x:v>
      </x:c>
      <x:c r="C18" s="29" t="str"/>
      <x:c r="D18" s="29" t="str"/>
      <x:c r="E18" s="29"/>
      <x:c r="F18" s="30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6" hidden="0" customWidth="1"/>
    <x:col min="4" max="4" width="36" hidden="0" customWidth="1"/>
    <x:col min="5" max="5" width="13" hidden="0" customWidth="1"/>
    <x:col min="6" max="6" width="13" hidden="0" customWidth="1"/>
    <x:col min="7" max="7" width="9" hidden="0" customWidth="1"/>
    <x:col min="8" max="8" width="42" hidden="0" customWidth="1"/>
    <x:col min="9" max="9" width="18" hidden="0" customWidth="1"/>
    <x:col min="10" max="10" width="3.5" hidden="0" customWidth="1"/>
    <x:col min="11" max="11" width="3.5" hidden="0" customWidth="1"/>
    <x:col min="12" max="12" width="3.5" hidden="0" customWidth="1"/>
    <x:col min="13" max="13" width="3.5" hidden="0" customWidth="1"/>
    <x:col min="14" max="14" width="3.5" hidden="0" customWidth="1"/>
    <x:col min="15" max="15" width="3.5" hidden="0" customWidth="1"/>
    <x:col min="16" max="16" width="3.5" hidden="0" customWidth="1"/>
    <x:col min="17" max="17" width="3.5" hidden="0" customWidth="1"/>
    <x:col min="18" max="18" width="3.5" hidden="0" customWidth="1"/>
    <x:col min="19" max="19" width="3.5" hidden="0" customWidth="1"/>
    <x:col min="20" max="20" width="3.5" hidden="0" customWidth="1"/>
    <x:col min="21" max="21" width="3.5" hidden="0" customWidth="1"/>
    <x:col min="22" max="22" width="3.5" hidden="0" customWidth="1"/>
    <x:col min="23" max="23" width="3.5" hidden="0" customWidth="1"/>
    <x:col min="24" max="24" width="3.5" hidden="0" customWidth="1"/>
    <x:col min="25" max="25" width="3.5" hidden="0" customWidth="1"/>
    <x:col min="26" max="26" width="3.5" hidden="0" customWidth="1"/>
    <x:col min="27" max="27" width="3.5" hidden="0" customWidth="1"/>
    <x:col min="28" max="28" width="3.5" hidden="0" customWidth="1"/>
    <x:col min="29" max="29" width="3.5" hidden="0" customWidth="1"/>
    <x:col min="30" max="30" width="3.5" hidden="0" customWidth="1"/>
    <x:col min="31" max="31" width="3.5" hidden="0" customWidth="1"/>
    <x:col min="32" max="32" width="3.5" hidden="0" customWidth="1"/>
    <x:col min="33" max="33" width="3.5" hidden="0" customWidth="1"/>
    <x:col min="34" max="34" width="3.5" hidden="0" customWidth="1"/>
    <x:col min="35" max="35" width="3.5" hidden="0" customWidth="1"/>
    <x:col min="36" max="36" width="3.5" hidden="0" customWidth="1"/>
    <x:col min="37" max="37" width="3.5" hidden="0" customWidth="1"/>
    <x:col min="38" max="38" width="3.5" hidden="0" customWidth="1"/>
    <x:col min="39" max="39" width="3.5" hidden="0" customWidth="1"/>
    <x:col min="40" max="40" width="3.5" hidden="0" customWidth="1"/>
  </x:cols>
  <x:sheetData>
    <x:row r="1" ht="32" customHeight="1">
      <x:c r="A1" s="3" t="str">
        <x:v>2026 年 10 月经营工作计划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</x:row>
    <x:row r="2">
      <x:c r="A2" s="38" t="str">
        <x:v>徐州｜中线市场 × 1-10 成长｜区域首选｜主攻：产品与利润、拉新获客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  <x:c r="AA2" s="38"/>
      <x:c r="AB2" s="38"/>
      <x:c r="AC2" s="38"/>
      <x:c r="AD2" s="38"/>
      <x:c r="AE2" s="38"/>
      <x:c r="AF2" s="38"/>
      <x:c r="AG2" s="38"/>
      <x:c r="AH2" s="38"/>
      <x:c r="AI2" s="38"/>
      <x:c r="AJ2" s="38"/>
      <x:c r="AK2" s="38"/>
      <x:c r="AL2" s="38"/>
      <x:c r="AM2" s="38"/>
      <x:c r="AN2" s="38"/>
    </x:row>
    <x:row r="3">
      <x:c r="A3" s="39" t="str">
        <x:v>本月核心</x:v>
      </x:c>
      <x:c r="B3" s="39"/>
      <x:c r="C3" s="39"/>
      <x:c r="D3" s="39"/>
      <x:c r="E3" s="39"/>
      <x:c r="F3" s="39"/>
      <x:c r="G3" s="39"/>
      <x:c r="H3" s="39"/>
      <x:c r="I3" s="39" t="str">
        <x:v>DDL</x:v>
      </x:c>
    </x:row>
    <x:row r="4">
      <x:c r="A4" s="53" t="str">
        <x:v>01</x:v>
      </x:c>
      <x:c r="B4" s="53" t="str">
        <x:v>国庆假期销售承接与交付保障</x:v>
      </x:c>
      <x:c r="C4" s="53"/>
      <x:c r="D4" s="53"/>
      <x:c r="E4" s="53"/>
      <x:c r="F4" s="53"/>
      <x:c r="G4" s="53"/>
      <x:c r="H4" s="53"/>
      <x:c r="I4" s="54" t="n">
        <x:v>46302</x:v>
      </x:c>
    </x:row>
    <x:row r="5">
      <x:c r="A5" s="55" t="str">
        <x:v>02</x:v>
      </x:c>
      <x:c r="B5" s="55" t="str">
        <x:v>秋季口味蛋糕及切块上线与全渠道触达</x:v>
      </x:c>
      <x:c r="C5" s="55"/>
      <x:c r="D5" s="55"/>
      <x:c r="E5" s="55"/>
      <x:c r="F5" s="55"/>
      <x:c r="G5" s="55"/>
      <x:c r="H5" s="55"/>
      <x:c r="I5" s="56" t="n">
        <x:v>46325</x:v>
      </x:c>
    </x:row>
    <x:row r="6">
      <x:c r="A6" s="55" t="str">
        <x:v>03</x:v>
      </x:c>
      <x:c r="B6" s="55" t="str">
        <x:v>9 月新客一转二触达与渠道质量复盘</x:v>
      </x:c>
      <x:c r="C6" s="55"/>
      <x:c r="D6" s="55"/>
      <x:c r="E6" s="55"/>
      <x:c r="F6" s="55"/>
      <x:c r="G6" s="55"/>
      <x:c r="H6" s="55"/>
      <x:c r="I6" s="56" t="n">
        <x:v>46326</x:v>
      </x:c>
    </x:row>
    <x:row r="7">
      <x:c r="A7" s="55" t="str">
        <x:v>04</x:v>
      </x:c>
      <x:c r="B7" s="55" t="str">
        <x:v>万圣节主题产品及线下打卡落地</x:v>
      </x:c>
      <x:c r="C7" s="55"/>
      <x:c r="D7" s="55"/>
      <x:c r="E7" s="55"/>
      <x:c r="F7" s="55"/>
      <x:c r="G7" s="55"/>
      <x:c r="H7" s="55"/>
      <x:c r="I7" s="56" t="n">
        <x:v>46326</x:v>
      </x:c>
    </x:row>
    <x:row r="8">
      <x:c r="A8" s="57" t="str">
        <x:v>05</x:v>
      </x:c>
      <x:c r="B8" s="57" t="str">
        <x:v>当月上新拉新与新客承接闭环</x:v>
      </x:c>
      <x:c r="C8" s="57"/>
      <x:c r="D8" s="57"/>
      <x:c r="E8" s="57"/>
      <x:c r="F8" s="57"/>
      <x:c r="G8" s="57"/>
      <x:c r="H8" s="57"/>
      <x:c r="I8" s="58" t="n">
        <x:v>46325</x:v>
      </x:c>
    </x:row>
    <x:row r="10">
      <x:c r="A10" s="68" t="str">
        <x:v>编号</x:v>
      </x:c>
      <x:c r="B10" s="69" t="str">
        <x:v>项目</x:v>
      </x:c>
      <x:c r="C10" s="69" t="str">
        <x:v>渠道或模块</x:v>
      </x:c>
      <x:c r="D10" s="69" t="str">
        <x:v>任务</x:v>
      </x:c>
      <x:c r="E10" s="69" t="str">
        <x:v>开始日期</x:v>
      </x:c>
      <x:c r="F10" s="69" t="str">
        <x:v>结束日期</x:v>
      </x:c>
      <x:c r="G10" s="69" t="str">
        <x:v>历时</x:v>
      </x:c>
      <x:c r="H10" s="69" t="str">
        <x:v>验收口径</x:v>
      </x:c>
      <x:c r="I10" s="69" t="str">
        <x:v>备注</x:v>
      </x:c>
      <x:c r="J10" s="71" t="n">
        <x:v>46296</x:v>
      </x:c>
      <x:c r="K10" s="71" t="n">
        <x:v>46297</x:v>
      </x:c>
      <x:c r="L10" s="71" t="n">
        <x:v>46298</x:v>
      </x:c>
      <x:c r="M10" s="71" t="n">
        <x:v>46299</x:v>
      </x:c>
      <x:c r="N10" s="71" t="n">
        <x:v>46300</x:v>
      </x:c>
      <x:c r="O10" s="71" t="n">
        <x:v>46301</x:v>
      </x:c>
      <x:c r="P10" s="71" t="n">
        <x:v>46302</x:v>
      </x:c>
      <x:c r="Q10" s="71" t="n">
        <x:v>46303</x:v>
      </x:c>
      <x:c r="R10" s="71" t="n">
        <x:v>46304</x:v>
      </x:c>
      <x:c r="S10" s="71" t="n">
        <x:v>46305</x:v>
      </x:c>
      <x:c r="T10" s="71" t="n">
        <x:v>46306</x:v>
      </x:c>
      <x:c r="U10" s="71" t="n">
        <x:v>46307</x:v>
      </x:c>
      <x:c r="V10" s="71" t="n">
        <x:v>46308</x:v>
      </x:c>
      <x:c r="W10" s="71" t="n">
        <x:v>46309</x:v>
      </x:c>
      <x:c r="X10" s="71" t="n">
        <x:v>46310</x:v>
      </x:c>
      <x:c r="Y10" s="71" t="n">
        <x:v>46311</x:v>
      </x:c>
      <x:c r="Z10" s="71" t="n">
        <x:v>46312</x:v>
      </x:c>
      <x:c r="AA10" s="71" t="n">
        <x:v>46313</x:v>
      </x:c>
      <x:c r="AB10" s="71" t="n">
        <x:v>46314</x:v>
      </x:c>
      <x:c r="AC10" s="71" t="n">
        <x:v>46315</x:v>
      </x:c>
      <x:c r="AD10" s="71" t="n">
        <x:v>46316</x:v>
      </x:c>
      <x:c r="AE10" s="71" t="n">
        <x:v>46317</x:v>
      </x:c>
      <x:c r="AF10" s="71" t="n">
        <x:v>46318</x:v>
      </x:c>
      <x:c r="AG10" s="71" t="n">
        <x:v>46319</x:v>
      </x:c>
      <x:c r="AH10" s="71" t="n">
        <x:v>46320</x:v>
      </x:c>
      <x:c r="AI10" s="71" t="n">
        <x:v>46321</x:v>
      </x:c>
      <x:c r="AJ10" s="71" t="n">
        <x:v>46322</x:v>
      </x:c>
      <x:c r="AK10" s="71" t="n">
        <x:v>46323</x:v>
      </x:c>
      <x:c r="AL10" s="71" t="n">
        <x:v>46324</x:v>
      </x:c>
      <x:c r="AM10" s="71" t="n">
        <x:v>46325</x:v>
      </x:c>
      <x:c r="AN10" s="72" t="n">
        <x:v>46326</x:v>
      </x:c>
    </x:row>
    <x:row r="11" ht="38" customHeight="1">
      <x:c r="A11" s="83" t="n">
        <x:v>1</x:v>
      </x:c>
      <x:c r="B11" s="83" t="str">
        <x:v>首要问题：新客和进店客流不足</x:v>
      </x:c>
      <x:c r="C11" s="83" t="str">
        <x:v>全渠道</x:v>
      </x:c>
      <x:c r="D11" s="83" t="str">
        <x:v>新客增长目标与上新拉新链路确认</x:v>
      </x:c>
      <x:c r="E11" s="84" t="n">
        <x:v>46303</x:v>
      </x:c>
      <x:c r="F11" s="84" t="n">
        <x:v>46313</x:v>
      </x:c>
      <x:c r="G11" s="85" t="n">
        <x:f>F11-E11+1</x:f>
        <x:v>11</x:v>
      </x:c>
      <x:c r="H11" s="83" t="str">
        <x:v>明确新增目标、小红书/抖音/私域分工、预算、新客承接路径和归因字段</x:v>
      </x:c>
      <x:c r="I11" s="83" t="str"/>
      <x:c r="J11" s="76" t="str">
        <x:f>IF(AND(J$10&gt;=$E11,J$10&lt;=$F11),"■","")</x:f>
      </x:c>
      <x:c r="K11" s="76" t="str">
        <x:f>IF(AND(K$10&gt;=$E11,K$10&lt;=$F11),"■","")</x:f>
      </x:c>
      <x:c r="L11" s="76" t="str">
        <x:f>IF(AND(L$10&gt;=$E11,L$10&lt;=$F11),"■","")</x:f>
      </x:c>
      <x:c r="M11" s="76" t="str">
        <x:f>IF(AND(M$10&gt;=$E11,M$10&lt;=$F11),"■","")</x:f>
      </x:c>
      <x:c r="N11" s="76" t="str">
        <x:f>IF(AND(N$10&gt;=$E11,N$10&lt;=$F11),"■","")</x:f>
      </x:c>
      <x:c r="O11" s="76" t="str">
        <x:f>IF(AND(O$10&gt;=$E11,O$10&lt;=$F11),"■","")</x:f>
      </x:c>
      <x:c r="P11" s="76" t="str">
        <x:f>IF(AND(P$10&gt;=$E11,P$10&lt;=$F11),"■","")</x:f>
      </x:c>
      <x:c r="Q11" s="76" t="str">
        <x:f>IF(AND(Q$10&gt;=$E11,Q$10&lt;=$F11),"■","")</x:f>
        <x:v>■</x:v>
      </x:c>
      <x:c r="R11" s="76" t="str">
        <x:f>IF(AND(R$10&gt;=$E11,R$10&lt;=$F11),"■","")</x:f>
        <x:v>■</x:v>
      </x:c>
      <x:c r="S11" s="76" t="str">
        <x:f>IF(AND(S$10&gt;=$E11,S$10&lt;=$F11),"■","")</x:f>
        <x:v>■</x:v>
      </x:c>
      <x:c r="T11" s="76" t="str">
        <x:f>IF(AND(T$10&gt;=$E11,T$10&lt;=$F11),"■","")</x:f>
        <x:v>■</x:v>
      </x:c>
      <x:c r="U11" s="76" t="str">
        <x:f>IF(AND(U$10&gt;=$E11,U$10&lt;=$F11),"■","")</x:f>
        <x:v>■</x:v>
      </x:c>
      <x:c r="V11" s="76" t="str">
        <x:f>IF(AND(V$10&gt;=$E11,V$10&lt;=$F11),"■","")</x:f>
        <x:v>■</x:v>
      </x:c>
      <x:c r="W11" s="76" t="str">
        <x:f>IF(AND(W$10&gt;=$E11,W$10&lt;=$F11),"■","")</x:f>
        <x:v>■</x:v>
      </x:c>
      <x:c r="X11" s="76" t="str">
        <x:f>IF(AND(X$10&gt;=$E11,X$10&lt;=$F11),"■","")</x:f>
        <x:v>■</x:v>
      </x:c>
      <x:c r="Y11" s="76" t="str">
        <x:f>IF(AND(Y$10&gt;=$E11,Y$10&lt;=$F11),"■","")</x:f>
        <x:v>■</x:v>
      </x:c>
      <x:c r="Z11" s="76" t="str">
        <x:f>IF(AND(Z$10&gt;=$E11,Z$10&lt;=$F11),"■","")</x:f>
        <x:v>■</x:v>
      </x:c>
      <x:c r="AA11" s="76" t="str">
        <x:f>IF(AND(AA$10&gt;=$E11,AA$10&lt;=$F11),"■","")</x:f>
        <x:v>■</x:v>
      </x:c>
      <x:c r="AB11" s="76" t="str">
        <x:f>IF(AND(AB$10&gt;=$E11,AB$10&lt;=$F11),"■","")</x:f>
      </x:c>
      <x:c r="AC11" s="76" t="str">
        <x:f>IF(AND(AC$10&gt;=$E11,AC$10&lt;=$F11),"■","")</x:f>
      </x:c>
      <x:c r="AD11" s="76" t="str">
        <x:f>IF(AND(AD$10&gt;=$E11,AD$10&lt;=$F11),"■","")</x:f>
      </x:c>
      <x:c r="AE11" s="76" t="str">
        <x:f>IF(AND(AE$10&gt;=$E11,AE$10&lt;=$F11),"■","")</x:f>
      </x:c>
      <x:c r="AF11" s="76" t="str">
        <x:f>IF(AND(AF$10&gt;=$E11,AF$10&lt;=$F11),"■","")</x:f>
      </x:c>
      <x:c r="AG11" s="76" t="str">
        <x:f>IF(AND(AG$10&gt;=$E11,AG$10&lt;=$F11),"■","")</x:f>
      </x:c>
      <x:c r="AH11" s="76" t="str">
        <x:f>IF(AND(AH$10&gt;=$E11,AH$10&lt;=$F11),"■","")</x:f>
      </x:c>
      <x:c r="AI11" s="76" t="str">
        <x:f>IF(AND(AI$10&gt;=$E11,AI$10&lt;=$F11),"■","")</x:f>
      </x:c>
      <x:c r="AJ11" s="76" t="str">
        <x:f>IF(AND(AJ$10&gt;=$E11,AJ$10&lt;=$F11),"■","")</x:f>
      </x:c>
      <x:c r="AK11" s="76" t="str">
        <x:f>IF(AND(AK$10&gt;=$E11,AK$10&lt;=$F11),"■","")</x:f>
      </x:c>
      <x:c r="AL11" s="76" t="str">
        <x:f>IF(AND(AL$10&gt;=$E11,AL$10&lt;=$F11),"■","")</x:f>
      </x:c>
      <x:c r="AM11" s="76" t="str">
        <x:f>IF(AND(AM$10&gt;=$E11,AM$10&lt;=$F11),"■","")</x:f>
      </x:c>
      <x:c r="AN11" s="76" t="str">
        <x:f>IF(AND(AN$10&gt;=$E11,AN$10&lt;=$F11),"■","")</x:f>
      </x:c>
    </x:row>
    <x:row r="12" ht="38" customHeight="1">
      <x:c r="A12" s="86" t="n">
        <x:v>2</x:v>
      </x:c>
      <x:c r="B12" s="86" t="str">
        <x:v>国庆销售承接与履约</x:v>
      </x:c>
      <x:c r="C12" s="86" t="str">
        <x:v>内部经营</x:v>
      </x:c>
      <x:c r="D12" s="86" t="str">
        <x:v>预订单、库存与关键原料盘点</x:v>
      </x:c>
      <x:c r="E12" s="87" t="n">
        <x:v>46296</x:v>
      </x:c>
      <x:c r="F12" s="87" t="n">
        <x:v>46297</x:v>
      </x:c>
      <x:c r="G12" s="88" t="n">
        <x:f>F12-E12+1</x:f>
        <x:v>2</x:v>
      </x:c>
      <x:c r="H12" s="86" t="str">
        <x:v>逐日订单、关键物料和缺口清单完成</x:v>
      </x:c>
      <x:c r="I12" s="86" t="str"/>
      <x:c r="J12" s="76" t="str">
        <x:f>IF(AND(J$10&gt;=$E12,J$10&lt;=$F12),"■","")</x:f>
        <x:v>■</x:v>
      </x:c>
      <x:c r="K12" s="76" t="str">
        <x:f>IF(AND(K$10&gt;=$E12,K$10&lt;=$F12),"■","")</x:f>
        <x:v>■</x:v>
      </x:c>
      <x:c r="L12" s="76" t="str">
        <x:f>IF(AND(L$10&gt;=$E12,L$10&lt;=$F12),"■","")</x:f>
      </x:c>
      <x:c r="M12" s="76" t="str">
        <x:f>IF(AND(M$10&gt;=$E12,M$10&lt;=$F12),"■","")</x:f>
      </x:c>
      <x:c r="N12" s="76" t="str">
        <x:f>IF(AND(N$10&gt;=$E12,N$10&lt;=$F12),"■","")</x:f>
      </x:c>
      <x:c r="O12" s="76" t="str">
        <x:f>IF(AND(O$10&gt;=$E12,O$10&lt;=$F12),"■","")</x:f>
      </x:c>
      <x:c r="P12" s="76" t="str">
        <x:f>IF(AND(P$10&gt;=$E12,P$10&lt;=$F12),"■","")</x:f>
      </x:c>
      <x:c r="Q12" s="76" t="str">
        <x:f>IF(AND(Q$10&gt;=$E12,Q$10&lt;=$F12),"■","")</x:f>
      </x:c>
      <x:c r="R12" s="76" t="str">
        <x:f>IF(AND(R$10&gt;=$E12,R$10&lt;=$F12),"■","")</x:f>
      </x:c>
      <x:c r="S12" s="76" t="str">
        <x:f>IF(AND(S$10&gt;=$E12,S$10&lt;=$F12),"■","")</x:f>
      </x:c>
      <x:c r="T12" s="76" t="str">
        <x:f>IF(AND(T$10&gt;=$E12,T$10&lt;=$F12),"■","")</x:f>
      </x:c>
      <x:c r="U12" s="76" t="str">
        <x:f>IF(AND(U$10&gt;=$E12,U$10&lt;=$F12),"■","")</x:f>
      </x:c>
      <x:c r="V12" s="76" t="str">
        <x:f>IF(AND(V$10&gt;=$E12,V$10&lt;=$F12),"■","")</x:f>
      </x:c>
      <x:c r="W12" s="76" t="str">
        <x:f>IF(AND(W$10&gt;=$E12,W$10&lt;=$F12),"■","")</x:f>
      </x:c>
      <x:c r="X12" s="76" t="str">
        <x:f>IF(AND(X$10&gt;=$E12,X$10&lt;=$F12),"■","")</x:f>
      </x:c>
      <x:c r="Y12" s="76" t="str">
        <x:f>IF(AND(Y$10&gt;=$E12,Y$10&lt;=$F12),"■","")</x:f>
      </x:c>
      <x:c r="Z12" s="76" t="str">
        <x:f>IF(AND(Z$10&gt;=$E12,Z$10&lt;=$F12),"■","")</x:f>
      </x:c>
      <x:c r="AA12" s="76" t="str">
        <x:f>IF(AND(AA$10&gt;=$E12,AA$10&lt;=$F12),"■","")</x:f>
      </x:c>
      <x:c r="AB12" s="76" t="str">
        <x:f>IF(AND(AB$10&gt;=$E12,AB$10&lt;=$F12),"■","")</x:f>
      </x:c>
      <x:c r="AC12" s="76" t="str">
        <x:f>IF(AND(AC$10&gt;=$E12,AC$10&lt;=$F12),"■","")</x:f>
      </x:c>
      <x:c r="AD12" s="76" t="str">
        <x:f>IF(AND(AD$10&gt;=$E12,AD$10&lt;=$F12),"■","")</x:f>
      </x:c>
      <x:c r="AE12" s="76" t="str">
        <x:f>IF(AND(AE$10&gt;=$E12,AE$10&lt;=$F12),"■","")</x:f>
      </x:c>
      <x:c r="AF12" s="76" t="str">
        <x:f>IF(AND(AF$10&gt;=$E12,AF$10&lt;=$F12),"■","")</x:f>
      </x:c>
      <x:c r="AG12" s="76" t="str">
        <x:f>IF(AND(AG$10&gt;=$E12,AG$10&lt;=$F12),"■","")</x:f>
      </x:c>
      <x:c r="AH12" s="76" t="str">
        <x:f>IF(AND(AH$10&gt;=$E12,AH$10&lt;=$F12),"■","")</x:f>
      </x:c>
      <x:c r="AI12" s="76" t="str">
        <x:f>IF(AND(AI$10&gt;=$E12,AI$10&lt;=$F12),"■","")</x:f>
      </x:c>
      <x:c r="AJ12" s="76" t="str">
        <x:f>IF(AND(AJ$10&gt;=$E12,AJ$10&lt;=$F12),"■","")</x:f>
      </x:c>
      <x:c r="AK12" s="76" t="str">
        <x:f>IF(AND(AK$10&gt;=$E12,AK$10&lt;=$F12),"■","")</x:f>
      </x:c>
      <x:c r="AL12" s="76" t="str">
        <x:f>IF(AND(AL$10&gt;=$E12,AL$10&lt;=$F12),"■","")</x:f>
      </x:c>
      <x:c r="AM12" s="76" t="str">
        <x:f>IF(AND(AM$10&gt;=$E12,AM$10&lt;=$F12),"■","")</x:f>
      </x:c>
      <x:c r="AN12" s="76" t="str">
        <x:f>IF(AND(AN$10&gt;=$E12,AN$10&lt;=$F12),"■","")</x:f>
      </x:c>
    </x:row>
    <x:row r="13" ht="38" customHeight="1">
      <x:c r="A13" s="86" t="n">
        <x:v>3</x:v>
      </x:c>
      <x:c r="B13" s="86" t="str">
        <x:v>国庆销售承接与履约</x:v>
      </x:c>
      <x:c r="C13" s="86" t="str">
        <x:v>内部经营</x:v>
      </x:c>
      <x:c r="D13" s="86" t="str">
        <x:v>产能、人员排班与交付时段确认</x:v>
      </x:c>
      <x:c r="E13" s="87" t="n">
        <x:v>46296</x:v>
      </x:c>
      <x:c r="F13" s="87" t="n">
        <x:v>46297</x:v>
      </x:c>
      <x:c r="G13" s="88" t="n">
        <x:f>F13-E13+1</x:f>
        <x:v>2</x:v>
      </x:c>
      <x:c r="H13" s="86" t="str">
        <x:v>每日最大产能、岗位、班次和交付时段明确</x:v>
      </x:c>
      <x:c r="I13" s="86" t="str"/>
      <x:c r="J13" s="76" t="str">
        <x:f>IF(AND(J$10&gt;=$E13,J$10&lt;=$F13),"■","")</x:f>
        <x:v>■</x:v>
      </x:c>
      <x:c r="K13" s="76" t="str">
        <x:f>IF(AND(K$10&gt;=$E13,K$10&lt;=$F13),"■","")</x:f>
        <x:v>■</x:v>
      </x:c>
      <x:c r="L13" s="76" t="str">
        <x:f>IF(AND(L$10&gt;=$E13,L$10&lt;=$F13),"■","")</x:f>
      </x:c>
      <x:c r="M13" s="76" t="str">
        <x:f>IF(AND(M$10&gt;=$E13,M$10&lt;=$F13),"■","")</x:f>
      </x:c>
      <x:c r="N13" s="76" t="str">
        <x:f>IF(AND(N$10&gt;=$E13,N$10&lt;=$F13),"■","")</x:f>
      </x:c>
      <x:c r="O13" s="76" t="str">
        <x:f>IF(AND(O$10&gt;=$E13,O$10&lt;=$F13),"■","")</x:f>
      </x:c>
      <x:c r="P13" s="76" t="str">
        <x:f>IF(AND(P$10&gt;=$E13,P$10&lt;=$F13),"■","")</x:f>
      </x:c>
      <x:c r="Q13" s="76" t="str">
        <x:f>IF(AND(Q$10&gt;=$E13,Q$10&lt;=$F13),"■","")</x:f>
      </x:c>
      <x:c r="R13" s="76" t="str">
        <x:f>IF(AND(R$10&gt;=$E13,R$10&lt;=$F13),"■","")</x:f>
      </x:c>
      <x:c r="S13" s="76" t="str">
        <x:f>IF(AND(S$10&gt;=$E13,S$10&lt;=$F13),"■","")</x:f>
      </x:c>
      <x:c r="T13" s="76" t="str">
        <x:f>IF(AND(T$10&gt;=$E13,T$10&lt;=$F13),"■","")</x:f>
      </x:c>
      <x:c r="U13" s="76" t="str">
        <x:f>IF(AND(U$10&gt;=$E13,U$10&lt;=$F13),"■","")</x:f>
      </x:c>
      <x:c r="V13" s="76" t="str">
        <x:f>IF(AND(V$10&gt;=$E13,V$10&lt;=$F13),"■","")</x:f>
      </x:c>
      <x:c r="W13" s="76" t="str">
        <x:f>IF(AND(W$10&gt;=$E13,W$10&lt;=$F13),"■","")</x:f>
      </x:c>
      <x:c r="X13" s="76" t="str">
        <x:f>IF(AND(X$10&gt;=$E13,X$10&lt;=$F13),"■","")</x:f>
      </x:c>
      <x:c r="Y13" s="76" t="str">
        <x:f>IF(AND(Y$10&gt;=$E13,Y$10&lt;=$F13),"■","")</x:f>
      </x:c>
      <x:c r="Z13" s="76" t="str">
        <x:f>IF(AND(Z$10&gt;=$E13,Z$10&lt;=$F13),"■","")</x:f>
      </x:c>
      <x:c r="AA13" s="76" t="str">
        <x:f>IF(AND(AA$10&gt;=$E13,AA$10&lt;=$F13),"■","")</x:f>
      </x:c>
      <x:c r="AB13" s="76" t="str">
        <x:f>IF(AND(AB$10&gt;=$E13,AB$10&lt;=$F13),"■","")</x:f>
      </x:c>
      <x:c r="AC13" s="76" t="str">
        <x:f>IF(AND(AC$10&gt;=$E13,AC$10&lt;=$F13),"■","")</x:f>
      </x:c>
      <x:c r="AD13" s="76" t="str">
        <x:f>IF(AND(AD$10&gt;=$E13,AD$10&lt;=$F13),"■","")</x:f>
      </x:c>
      <x:c r="AE13" s="76" t="str">
        <x:f>IF(AND(AE$10&gt;=$E13,AE$10&lt;=$F13),"■","")</x:f>
      </x:c>
      <x:c r="AF13" s="76" t="str">
        <x:f>IF(AND(AF$10&gt;=$E13,AF$10&lt;=$F13),"■","")</x:f>
      </x:c>
      <x:c r="AG13" s="76" t="str">
        <x:f>IF(AND(AG$10&gt;=$E13,AG$10&lt;=$F13),"■","")</x:f>
      </x:c>
      <x:c r="AH13" s="76" t="str">
        <x:f>IF(AND(AH$10&gt;=$E13,AH$10&lt;=$F13),"■","")</x:f>
      </x:c>
      <x:c r="AI13" s="76" t="str">
        <x:f>IF(AND(AI$10&gt;=$E13,AI$10&lt;=$F13),"■","")</x:f>
      </x:c>
      <x:c r="AJ13" s="76" t="str">
        <x:f>IF(AND(AJ$10&gt;=$E13,AJ$10&lt;=$F13),"■","")</x:f>
      </x:c>
      <x:c r="AK13" s="76" t="str">
        <x:f>IF(AND(AK$10&gt;=$E13,AK$10&lt;=$F13),"■","")</x:f>
      </x:c>
      <x:c r="AL13" s="76" t="str">
        <x:f>IF(AND(AL$10&gt;=$E13,AL$10&lt;=$F13),"■","")</x:f>
      </x:c>
      <x:c r="AM13" s="76" t="str">
        <x:f>IF(AND(AM$10&gt;=$E13,AM$10&lt;=$F13),"■","")</x:f>
      </x:c>
      <x:c r="AN13" s="76" t="str">
        <x:f>IF(AND(AN$10&gt;=$E13,AN$10&lt;=$F13),"■","")</x:f>
      </x:c>
    </x:row>
    <x:row r="14" ht="38" customHeight="1">
      <x:c r="A14" s="86" t="n">
        <x:v>4</x:v>
      </x:c>
      <x:c r="B14" s="86" t="str">
        <x:v>国庆销售承接与履约</x:v>
      </x:c>
      <x:c r="C14" s="86" t="str">
        <x:v>内部经营</x:v>
      </x:c>
      <x:c r="D14" s="86" t="str">
        <x:v>销售、库存与交付每日看板</x:v>
      </x:c>
      <x:c r="E14" s="87" t="n">
        <x:v>46296</x:v>
      </x:c>
      <x:c r="F14" s="87" t="n">
        <x:v>46302</x:v>
      </x:c>
      <x:c r="G14" s="88" t="n">
        <x:f>F14-E14+1</x:f>
        <x:v>7</x:v>
      </x:c>
      <x:c r="H14" s="86" t="str">
        <x:v>每日闭店前更新销售、缺货、延误和客诉并纠偏</x:v>
      </x:c>
      <x:c r="I14" s="86" t="str"/>
      <x:c r="J14" s="76" t="str">
        <x:f>IF(AND(J$10&gt;=$E14,J$10&lt;=$F14),"■","")</x:f>
        <x:v>■</x:v>
      </x:c>
      <x:c r="K14" s="76" t="str">
        <x:f>IF(AND(K$10&gt;=$E14,K$10&lt;=$F14),"■","")</x:f>
        <x:v>■</x:v>
      </x:c>
      <x:c r="L14" s="76" t="str">
        <x:f>IF(AND(L$10&gt;=$E14,L$10&lt;=$F14),"■","")</x:f>
        <x:v>■</x:v>
      </x:c>
      <x:c r="M14" s="76" t="str">
        <x:f>IF(AND(M$10&gt;=$E14,M$10&lt;=$F14),"■","")</x:f>
        <x:v>■</x:v>
      </x:c>
      <x:c r="N14" s="76" t="str">
        <x:f>IF(AND(N$10&gt;=$E14,N$10&lt;=$F14),"■","")</x:f>
        <x:v>■</x:v>
      </x:c>
      <x:c r="O14" s="76" t="str">
        <x:f>IF(AND(O$10&gt;=$E14,O$10&lt;=$F14),"■","")</x:f>
        <x:v>■</x:v>
      </x:c>
      <x:c r="P14" s="76" t="str">
        <x:f>IF(AND(P$10&gt;=$E14,P$10&lt;=$F14),"■","")</x:f>
        <x:v>■</x:v>
      </x:c>
      <x:c r="Q14" s="76" t="str">
        <x:f>IF(AND(Q$10&gt;=$E14,Q$10&lt;=$F14),"■","")</x:f>
      </x:c>
      <x:c r="R14" s="76" t="str">
        <x:f>IF(AND(R$10&gt;=$E14,R$10&lt;=$F14),"■","")</x:f>
      </x:c>
      <x:c r="S14" s="76" t="str">
        <x:f>IF(AND(S$10&gt;=$E14,S$10&lt;=$F14),"■","")</x:f>
      </x:c>
      <x:c r="T14" s="76" t="str">
        <x:f>IF(AND(T$10&gt;=$E14,T$10&lt;=$F14),"■","")</x:f>
      </x:c>
      <x:c r="U14" s="76" t="str">
        <x:f>IF(AND(U$10&gt;=$E14,U$10&lt;=$F14),"■","")</x:f>
      </x:c>
      <x:c r="V14" s="76" t="str">
        <x:f>IF(AND(V$10&gt;=$E14,V$10&lt;=$F14),"■","")</x:f>
      </x:c>
      <x:c r="W14" s="76" t="str">
        <x:f>IF(AND(W$10&gt;=$E14,W$10&lt;=$F14),"■","")</x:f>
      </x:c>
      <x:c r="X14" s="76" t="str">
        <x:f>IF(AND(X$10&gt;=$E14,X$10&lt;=$F14),"■","")</x:f>
      </x:c>
      <x:c r="Y14" s="76" t="str">
        <x:f>IF(AND(Y$10&gt;=$E14,Y$10&lt;=$F14),"■","")</x:f>
      </x:c>
      <x:c r="Z14" s="76" t="str">
        <x:f>IF(AND(Z$10&gt;=$E14,Z$10&lt;=$F14),"■","")</x:f>
      </x:c>
      <x:c r="AA14" s="76" t="str">
        <x:f>IF(AND(AA$10&gt;=$E14,AA$10&lt;=$F14),"■","")</x:f>
      </x:c>
      <x:c r="AB14" s="76" t="str">
        <x:f>IF(AND(AB$10&gt;=$E14,AB$10&lt;=$F14),"■","")</x:f>
      </x:c>
      <x:c r="AC14" s="76" t="str">
        <x:f>IF(AND(AC$10&gt;=$E14,AC$10&lt;=$F14),"■","")</x:f>
      </x:c>
      <x:c r="AD14" s="76" t="str">
        <x:f>IF(AND(AD$10&gt;=$E14,AD$10&lt;=$F14),"■","")</x:f>
      </x:c>
      <x:c r="AE14" s="76" t="str">
        <x:f>IF(AND(AE$10&gt;=$E14,AE$10&lt;=$F14),"■","")</x:f>
      </x:c>
      <x:c r="AF14" s="76" t="str">
        <x:f>IF(AND(AF$10&gt;=$E14,AF$10&lt;=$F14),"■","")</x:f>
      </x:c>
      <x:c r="AG14" s="76" t="str">
        <x:f>IF(AND(AG$10&gt;=$E14,AG$10&lt;=$F14),"■","")</x:f>
      </x:c>
      <x:c r="AH14" s="76" t="str">
        <x:f>IF(AND(AH$10&gt;=$E14,AH$10&lt;=$F14),"■","")</x:f>
      </x:c>
      <x:c r="AI14" s="76" t="str">
        <x:f>IF(AND(AI$10&gt;=$E14,AI$10&lt;=$F14),"■","")</x:f>
      </x:c>
      <x:c r="AJ14" s="76" t="str">
        <x:f>IF(AND(AJ$10&gt;=$E14,AJ$10&lt;=$F14),"■","")</x:f>
      </x:c>
      <x:c r="AK14" s="76" t="str">
        <x:f>IF(AND(AK$10&gt;=$E14,AK$10&lt;=$F14),"■","")</x:f>
      </x:c>
      <x:c r="AL14" s="76" t="str">
        <x:f>IF(AND(AL$10&gt;=$E14,AL$10&lt;=$F14),"■","")</x:f>
      </x:c>
      <x:c r="AM14" s="76" t="str">
        <x:f>IF(AND(AM$10&gt;=$E14,AM$10&lt;=$F14),"■","")</x:f>
      </x:c>
      <x:c r="AN14" s="76" t="str">
        <x:f>IF(AND(AN$10&gt;=$E14,AN$10&lt;=$F14),"■","")</x:f>
      </x:c>
    </x:row>
    <x:row r="15" ht="38" customHeight="1">
      <x:c r="A15" s="86" t="n">
        <x:v>5</x:v>
      </x:c>
      <x:c r="B15" s="86" t="str">
        <x:v>国庆销售承接与履约</x:v>
      </x:c>
      <x:c r="C15" s="86" t="str">
        <x:v>内部经营</x:v>
      </x:c>
      <x:c r="D15" s="86" t="str">
        <x:v>异常日清与销售履约复盘</x:v>
      </x:c>
      <x:c r="E15" s="87" t="n">
        <x:v>46296</x:v>
      </x:c>
      <x:c r="F15" s="87" t="n">
        <x:v>46302</x:v>
      </x:c>
      <x:c r="G15" s="88" t="n">
        <x:f>F15-E15+1</x:f>
        <x:v>7</x:v>
      </x:c>
      <x:c r="H15" s="86" t="str">
        <x:v>异常当日闭环，7 日完成销售、利润和履约复盘</x:v>
      </x:c>
      <x:c r="I15" s="86" t="str"/>
      <x:c r="J15" s="76" t="str">
        <x:f>IF(AND(J$10&gt;=$E15,J$10&lt;=$F15),"■","")</x:f>
        <x:v>■</x:v>
      </x:c>
      <x:c r="K15" s="76" t="str">
        <x:f>IF(AND(K$10&gt;=$E15,K$10&lt;=$F15),"■","")</x:f>
        <x:v>■</x:v>
      </x:c>
      <x:c r="L15" s="76" t="str">
        <x:f>IF(AND(L$10&gt;=$E15,L$10&lt;=$F15),"■","")</x:f>
        <x:v>■</x:v>
      </x:c>
      <x:c r="M15" s="76" t="str">
        <x:f>IF(AND(M$10&gt;=$E15,M$10&lt;=$F15),"■","")</x:f>
        <x:v>■</x:v>
      </x:c>
      <x:c r="N15" s="76" t="str">
        <x:f>IF(AND(N$10&gt;=$E15,N$10&lt;=$F15),"■","")</x:f>
        <x:v>■</x:v>
      </x:c>
      <x:c r="O15" s="76" t="str">
        <x:f>IF(AND(O$10&gt;=$E15,O$10&lt;=$F15),"■","")</x:f>
        <x:v>■</x:v>
      </x:c>
      <x:c r="P15" s="76" t="str">
        <x:f>IF(AND(P$10&gt;=$E15,P$10&lt;=$F15),"■","")</x:f>
        <x:v>■</x:v>
      </x:c>
      <x:c r="Q15" s="76" t="str">
        <x:f>IF(AND(Q$10&gt;=$E15,Q$10&lt;=$F15),"■","")</x:f>
      </x:c>
      <x:c r="R15" s="76" t="str">
        <x:f>IF(AND(R$10&gt;=$E15,R$10&lt;=$F15),"■","")</x:f>
      </x:c>
      <x:c r="S15" s="76" t="str">
        <x:f>IF(AND(S$10&gt;=$E15,S$10&lt;=$F15),"■","")</x:f>
      </x:c>
      <x:c r="T15" s="76" t="str">
        <x:f>IF(AND(T$10&gt;=$E15,T$10&lt;=$F15),"■","")</x:f>
      </x:c>
      <x:c r="U15" s="76" t="str">
        <x:f>IF(AND(U$10&gt;=$E15,U$10&lt;=$F15),"■","")</x:f>
      </x:c>
      <x:c r="V15" s="76" t="str">
        <x:f>IF(AND(V$10&gt;=$E15,V$10&lt;=$F15),"■","")</x:f>
      </x:c>
      <x:c r="W15" s="76" t="str">
        <x:f>IF(AND(W$10&gt;=$E15,W$10&lt;=$F15),"■","")</x:f>
      </x:c>
      <x:c r="X15" s="76" t="str">
        <x:f>IF(AND(X$10&gt;=$E15,X$10&lt;=$F15),"■","")</x:f>
      </x:c>
      <x:c r="Y15" s="76" t="str">
        <x:f>IF(AND(Y$10&gt;=$E15,Y$10&lt;=$F15),"■","")</x:f>
      </x:c>
      <x:c r="Z15" s="76" t="str">
        <x:f>IF(AND(Z$10&gt;=$E15,Z$10&lt;=$F15),"■","")</x:f>
      </x:c>
      <x:c r="AA15" s="76" t="str">
        <x:f>IF(AND(AA$10&gt;=$E15,AA$10&lt;=$F15),"■","")</x:f>
      </x:c>
      <x:c r="AB15" s="76" t="str">
        <x:f>IF(AND(AB$10&gt;=$E15,AB$10&lt;=$F15),"■","")</x:f>
      </x:c>
      <x:c r="AC15" s="76" t="str">
        <x:f>IF(AND(AC$10&gt;=$E15,AC$10&lt;=$F15),"■","")</x:f>
      </x:c>
      <x:c r="AD15" s="76" t="str">
        <x:f>IF(AND(AD$10&gt;=$E15,AD$10&lt;=$F15),"■","")</x:f>
      </x:c>
      <x:c r="AE15" s="76" t="str">
        <x:f>IF(AND(AE$10&gt;=$E15,AE$10&lt;=$F15),"■","")</x:f>
      </x:c>
      <x:c r="AF15" s="76" t="str">
        <x:f>IF(AND(AF$10&gt;=$E15,AF$10&lt;=$F15),"■","")</x:f>
      </x:c>
      <x:c r="AG15" s="76" t="str">
        <x:f>IF(AND(AG$10&gt;=$E15,AG$10&lt;=$F15),"■","")</x:f>
      </x:c>
      <x:c r="AH15" s="76" t="str">
        <x:f>IF(AND(AH$10&gt;=$E15,AH$10&lt;=$F15),"■","")</x:f>
      </x:c>
      <x:c r="AI15" s="76" t="str">
        <x:f>IF(AND(AI$10&gt;=$E15,AI$10&lt;=$F15),"■","")</x:f>
      </x:c>
      <x:c r="AJ15" s="76" t="str">
        <x:f>IF(AND(AJ$10&gt;=$E15,AJ$10&lt;=$F15),"■","")</x:f>
      </x:c>
      <x:c r="AK15" s="76" t="str">
        <x:f>IF(AND(AK$10&gt;=$E15,AK$10&lt;=$F15),"■","")</x:f>
      </x:c>
      <x:c r="AL15" s="76" t="str">
        <x:f>IF(AND(AL$10&gt;=$E15,AL$10&lt;=$F15),"■","")</x:f>
      </x:c>
      <x:c r="AM15" s="76" t="str">
        <x:f>IF(AND(AM$10&gt;=$E15,AM$10&lt;=$F15),"■","")</x:f>
      </x:c>
      <x:c r="AN15" s="76" t="str">
        <x:f>IF(AND(AN$10&gt;=$E15,AN$10&lt;=$F15),"■","")</x:f>
      </x:c>
    </x:row>
    <x:row r="16" ht="38" customHeight="1">
      <x:c r="A16" s="86" t="n">
        <x:v>6</x:v>
      </x:c>
      <x:c r="B16" s="86" t="str">
        <x:v>秋季口味蛋糕及切块上线</x:v>
      </x:c>
      <x:c r="C16" s="86" t="str">
        <x:v>产品</x:v>
      </x:c>
      <x:c r="D16" s="86" t="str">
        <x:v>秋季主推口味与同口味切块定盘</x:v>
      </x:c>
      <x:c r="E16" s="87" t="n">
        <x:v>46303</x:v>
      </x:c>
      <x:c r="F16" s="87" t="n">
        <x:v>46304</x:v>
      </x:c>
      <x:c r="G16" s="88" t="n">
        <x:f>F16-E16+1</x:f>
        <x:v>2</x:v>
      </x:c>
      <x:c r="H16" s="86" t="str">
        <x:v>只确定一个主推口味系统，定制蛋糕维持日常承接</x:v>
      </x:c>
      <x:c r="I16" s="86" t="str"/>
      <x:c r="J16" s="76" t="str">
        <x:f>IF(AND(J$10&gt;=$E16,J$10&lt;=$F16),"■","")</x:f>
      </x:c>
      <x:c r="K16" s="76" t="str">
        <x:f>IF(AND(K$10&gt;=$E16,K$10&lt;=$F16),"■","")</x:f>
      </x:c>
      <x:c r="L16" s="76" t="str">
        <x:f>IF(AND(L$10&gt;=$E16,L$10&lt;=$F16),"■","")</x:f>
      </x:c>
      <x:c r="M16" s="76" t="str">
        <x:f>IF(AND(M$10&gt;=$E16,M$10&lt;=$F16),"■","")</x:f>
      </x:c>
      <x:c r="N16" s="76" t="str">
        <x:f>IF(AND(N$10&gt;=$E16,N$10&lt;=$F16),"■","")</x:f>
      </x:c>
      <x:c r="O16" s="76" t="str">
        <x:f>IF(AND(O$10&gt;=$E16,O$10&lt;=$F16),"■","")</x:f>
      </x:c>
      <x:c r="P16" s="76" t="str">
        <x:f>IF(AND(P$10&gt;=$E16,P$10&lt;=$F16),"■","")</x:f>
      </x:c>
      <x:c r="Q16" s="76" t="str">
        <x:f>IF(AND(Q$10&gt;=$E16,Q$10&lt;=$F16),"■","")</x:f>
        <x:v>■</x:v>
      </x:c>
      <x:c r="R16" s="76" t="str">
        <x:f>IF(AND(R$10&gt;=$E16,R$10&lt;=$F16),"■","")</x:f>
        <x:v>■</x:v>
      </x:c>
      <x:c r="S16" s="76" t="str">
        <x:f>IF(AND(S$10&gt;=$E16,S$10&lt;=$F16),"■","")</x:f>
      </x:c>
      <x:c r="T16" s="76" t="str">
        <x:f>IF(AND(T$10&gt;=$E16,T$10&lt;=$F16),"■","")</x:f>
      </x:c>
      <x:c r="U16" s="76" t="str">
        <x:f>IF(AND(U$10&gt;=$E16,U$10&lt;=$F16),"■","")</x:f>
      </x:c>
      <x:c r="V16" s="76" t="str">
        <x:f>IF(AND(V$10&gt;=$E16,V$10&lt;=$F16),"■","")</x:f>
      </x:c>
      <x:c r="W16" s="76" t="str">
        <x:f>IF(AND(W$10&gt;=$E16,W$10&lt;=$F16),"■","")</x:f>
      </x:c>
      <x:c r="X16" s="76" t="str">
        <x:f>IF(AND(X$10&gt;=$E16,X$10&lt;=$F16),"■","")</x:f>
      </x:c>
      <x:c r="Y16" s="76" t="str">
        <x:f>IF(AND(Y$10&gt;=$E16,Y$10&lt;=$F16),"■","")</x:f>
      </x:c>
      <x:c r="Z16" s="76" t="str">
        <x:f>IF(AND(Z$10&gt;=$E16,Z$10&lt;=$F16),"■","")</x:f>
      </x:c>
      <x:c r="AA16" s="76" t="str">
        <x:f>IF(AND(AA$10&gt;=$E16,AA$10&lt;=$F16),"■","")</x:f>
      </x:c>
      <x:c r="AB16" s="76" t="str">
        <x:f>IF(AND(AB$10&gt;=$E16,AB$10&lt;=$F16),"■","")</x:f>
      </x:c>
      <x:c r="AC16" s="76" t="str">
        <x:f>IF(AND(AC$10&gt;=$E16,AC$10&lt;=$F16),"■","")</x:f>
      </x:c>
      <x:c r="AD16" s="76" t="str">
        <x:f>IF(AND(AD$10&gt;=$E16,AD$10&lt;=$F16),"■","")</x:f>
      </x:c>
      <x:c r="AE16" s="76" t="str">
        <x:f>IF(AND(AE$10&gt;=$E16,AE$10&lt;=$F16),"■","")</x:f>
      </x:c>
      <x:c r="AF16" s="76" t="str">
        <x:f>IF(AND(AF$10&gt;=$E16,AF$10&lt;=$F16),"■","")</x:f>
      </x:c>
      <x:c r="AG16" s="76" t="str">
        <x:f>IF(AND(AG$10&gt;=$E16,AG$10&lt;=$F16),"■","")</x:f>
      </x:c>
      <x:c r="AH16" s="76" t="str">
        <x:f>IF(AND(AH$10&gt;=$E16,AH$10&lt;=$F16),"■","")</x:f>
      </x:c>
      <x:c r="AI16" s="76" t="str">
        <x:f>IF(AND(AI$10&gt;=$E16,AI$10&lt;=$F16),"■","")</x:f>
      </x:c>
      <x:c r="AJ16" s="76" t="str">
        <x:f>IF(AND(AJ$10&gt;=$E16,AJ$10&lt;=$F16),"■","")</x:f>
      </x:c>
      <x:c r="AK16" s="76" t="str">
        <x:f>IF(AND(AK$10&gt;=$E16,AK$10&lt;=$F16),"■","")</x:f>
      </x:c>
      <x:c r="AL16" s="76" t="str">
        <x:f>IF(AND(AL$10&gt;=$E16,AL$10&lt;=$F16),"■","")</x:f>
      </x:c>
      <x:c r="AM16" s="76" t="str">
        <x:f>IF(AND(AM$10&gt;=$E16,AM$10&lt;=$F16),"■","")</x:f>
      </x:c>
      <x:c r="AN16" s="76" t="str">
        <x:f>IF(AND(AN$10&gt;=$E16,AN$10&lt;=$F16),"■","")</x:f>
      </x:c>
    </x:row>
    <x:row r="17" ht="38" customHeight="1">
      <x:c r="A17" s="86" t="n">
        <x:v>7</x:v>
      </x:c>
      <x:c r="B17" s="86" t="str">
        <x:v>秋季口味蛋糕及切块上线</x:v>
      </x:c>
      <x:c r="C17" s="86" t="str">
        <x:v>产品</x:v>
      </x:c>
      <x:c r="D17" s="86" t="str">
        <x:v>打样、成本卡、定价与 SOP</x:v>
      </x:c>
      <x:c r="E17" s="87" t="n">
        <x:v>46303</x:v>
      </x:c>
      <x:c r="F17" s="87" t="n">
        <x:v>46308</x:v>
      </x:c>
      <x:c r="G17" s="88" t="n">
        <x:f>F17-E17+1</x:f>
        <x:v>6</x:v>
      </x:c>
      <x:c r="H17" s="86" t="str">
        <x:v>口味、克重、毛利和稳定复刻验证通过</x:v>
      </x:c>
      <x:c r="I17" s="86" t="str"/>
      <x:c r="J17" s="76" t="str">
        <x:f>IF(AND(J$10&gt;=$E17,J$10&lt;=$F17),"■","")</x:f>
      </x:c>
      <x:c r="K17" s="76" t="str">
        <x:f>IF(AND(K$10&gt;=$E17,K$10&lt;=$F17),"■","")</x:f>
      </x:c>
      <x:c r="L17" s="76" t="str">
        <x:f>IF(AND(L$10&gt;=$E17,L$10&lt;=$F17),"■","")</x:f>
      </x:c>
      <x:c r="M17" s="76" t="str">
        <x:f>IF(AND(M$10&gt;=$E17,M$10&lt;=$F17),"■","")</x:f>
      </x:c>
      <x:c r="N17" s="76" t="str">
        <x:f>IF(AND(N$10&gt;=$E17,N$10&lt;=$F17),"■","")</x:f>
      </x:c>
      <x:c r="O17" s="76" t="str">
        <x:f>IF(AND(O$10&gt;=$E17,O$10&lt;=$F17),"■","")</x:f>
      </x:c>
      <x:c r="P17" s="76" t="str">
        <x:f>IF(AND(P$10&gt;=$E17,P$10&lt;=$F17),"■","")</x:f>
      </x:c>
      <x:c r="Q17" s="76" t="str">
        <x:f>IF(AND(Q$10&gt;=$E17,Q$10&lt;=$F17),"■","")</x:f>
        <x:v>■</x:v>
      </x:c>
      <x:c r="R17" s="76" t="str">
        <x:f>IF(AND(R$10&gt;=$E17,R$10&lt;=$F17),"■","")</x:f>
        <x:v>■</x:v>
      </x:c>
      <x:c r="S17" s="76" t="str">
        <x:f>IF(AND(S$10&gt;=$E17,S$10&lt;=$F17),"■","")</x:f>
        <x:v>■</x:v>
      </x:c>
      <x:c r="T17" s="76" t="str">
        <x:f>IF(AND(T$10&gt;=$E17,T$10&lt;=$F17),"■","")</x:f>
        <x:v>■</x:v>
      </x:c>
      <x:c r="U17" s="76" t="str">
        <x:f>IF(AND(U$10&gt;=$E17,U$10&lt;=$F17),"■","")</x:f>
        <x:v>■</x:v>
      </x:c>
      <x:c r="V17" s="76" t="str">
        <x:f>IF(AND(V$10&gt;=$E17,V$10&lt;=$F17),"■","")</x:f>
        <x:v>■</x:v>
      </x:c>
      <x:c r="W17" s="76" t="str">
        <x:f>IF(AND(W$10&gt;=$E17,W$10&lt;=$F17),"■","")</x:f>
      </x:c>
      <x:c r="X17" s="76" t="str">
        <x:f>IF(AND(X$10&gt;=$E17,X$10&lt;=$F17),"■","")</x:f>
      </x:c>
      <x:c r="Y17" s="76" t="str">
        <x:f>IF(AND(Y$10&gt;=$E17,Y$10&lt;=$F17),"■","")</x:f>
      </x:c>
      <x:c r="Z17" s="76" t="str">
        <x:f>IF(AND(Z$10&gt;=$E17,Z$10&lt;=$F17),"■","")</x:f>
      </x:c>
      <x:c r="AA17" s="76" t="str">
        <x:f>IF(AND(AA$10&gt;=$E17,AA$10&lt;=$F17),"■","")</x:f>
      </x:c>
      <x:c r="AB17" s="76" t="str">
        <x:f>IF(AND(AB$10&gt;=$E17,AB$10&lt;=$F17),"■","")</x:f>
      </x:c>
      <x:c r="AC17" s="76" t="str">
        <x:f>IF(AND(AC$10&gt;=$E17,AC$10&lt;=$F17),"■","")</x:f>
      </x:c>
      <x:c r="AD17" s="76" t="str">
        <x:f>IF(AND(AD$10&gt;=$E17,AD$10&lt;=$F17),"■","")</x:f>
      </x:c>
      <x:c r="AE17" s="76" t="str">
        <x:f>IF(AND(AE$10&gt;=$E17,AE$10&lt;=$F17),"■","")</x:f>
      </x:c>
      <x:c r="AF17" s="76" t="str">
        <x:f>IF(AND(AF$10&gt;=$E17,AF$10&lt;=$F17),"■","")</x:f>
      </x:c>
      <x:c r="AG17" s="76" t="str">
        <x:f>IF(AND(AG$10&gt;=$E17,AG$10&lt;=$F17),"■","")</x:f>
      </x:c>
      <x:c r="AH17" s="76" t="str">
        <x:f>IF(AND(AH$10&gt;=$E17,AH$10&lt;=$F17),"■","")</x:f>
      </x:c>
      <x:c r="AI17" s="76" t="str">
        <x:f>IF(AND(AI$10&gt;=$E17,AI$10&lt;=$F17),"■","")</x:f>
      </x:c>
      <x:c r="AJ17" s="76" t="str">
        <x:f>IF(AND(AJ$10&gt;=$E17,AJ$10&lt;=$F17),"■","")</x:f>
      </x:c>
      <x:c r="AK17" s="76" t="str">
        <x:f>IF(AND(AK$10&gt;=$E17,AK$10&lt;=$F17),"■","")</x:f>
      </x:c>
      <x:c r="AL17" s="76" t="str">
        <x:f>IF(AND(AL$10&gt;=$E17,AL$10&lt;=$F17),"■","")</x:f>
      </x:c>
      <x:c r="AM17" s="76" t="str">
        <x:f>IF(AND(AM$10&gt;=$E17,AM$10&lt;=$F17),"■","")</x:f>
      </x:c>
      <x:c r="AN17" s="76" t="str">
        <x:f>IF(AND(AN$10&gt;=$E17,AN$10&lt;=$F17),"■","")</x:f>
      </x:c>
    </x:row>
    <x:row r="18" ht="38" customHeight="1">
      <x:c r="A18" s="86" t="n">
        <x:v>8</x:v>
      </x:c>
      <x:c r="B18" s="86" t="str">
        <x:v>秋季口味蛋糕及切块上线</x:v>
      </x:c>
      <x:c r="C18" s="86" t="str">
        <x:v>内容</x:v>
      </x:c>
      <x:c r="D18" s="86" t="str">
        <x:v>整蛋糕、切块与全渠道物料制作</x:v>
      </x:c>
      <x:c r="E18" s="87" t="n">
        <x:v>46306</x:v>
      </x:c>
      <x:c r="F18" s="87" t="n">
        <x:v>46310</x:v>
      </x:c>
      <x:c r="G18" s="88" t="n">
        <x:f>F18-E18+1</x:f>
        <x:v>5</x:v>
      </x:c>
      <x:c r="H18" s="86" t="str">
        <x:v>同一口味卖点覆盖所有在营渠道</x:v>
      </x:c>
      <x:c r="I18" s="86" t="str"/>
      <x:c r="J18" s="76" t="str">
        <x:f>IF(AND(J$10&gt;=$E18,J$10&lt;=$F18),"■","")</x:f>
      </x:c>
      <x:c r="K18" s="76" t="str">
        <x:f>IF(AND(K$10&gt;=$E18,K$10&lt;=$F18),"■","")</x:f>
      </x:c>
      <x:c r="L18" s="76" t="str">
        <x:f>IF(AND(L$10&gt;=$E18,L$10&lt;=$F18),"■","")</x:f>
      </x:c>
      <x:c r="M18" s="76" t="str">
        <x:f>IF(AND(M$10&gt;=$E18,M$10&lt;=$F18),"■","")</x:f>
      </x:c>
      <x:c r="N18" s="76" t="str">
        <x:f>IF(AND(N$10&gt;=$E18,N$10&lt;=$F18),"■","")</x:f>
      </x:c>
      <x:c r="O18" s="76" t="str">
        <x:f>IF(AND(O$10&gt;=$E18,O$10&lt;=$F18),"■","")</x:f>
      </x:c>
      <x:c r="P18" s="76" t="str">
        <x:f>IF(AND(P$10&gt;=$E18,P$10&lt;=$F18),"■","")</x:f>
      </x:c>
      <x:c r="Q18" s="76" t="str">
        <x:f>IF(AND(Q$10&gt;=$E18,Q$10&lt;=$F18),"■","")</x:f>
      </x:c>
      <x:c r="R18" s="76" t="str">
        <x:f>IF(AND(R$10&gt;=$E18,R$10&lt;=$F18),"■","")</x:f>
      </x:c>
      <x:c r="S18" s="76" t="str">
        <x:f>IF(AND(S$10&gt;=$E18,S$10&lt;=$F18),"■","")</x:f>
      </x:c>
      <x:c r="T18" s="76" t="str">
        <x:f>IF(AND(T$10&gt;=$E18,T$10&lt;=$F18),"■","")</x:f>
        <x:v>■</x:v>
      </x:c>
      <x:c r="U18" s="76" t="str">
        <x:f>IF(AND(U$10&gt;=$E18,U$10&lt;=$F18),"■","")</x:f>
        <x:v>■</x:v>
      </x:c>
      <x:c r="V18" s="76" t="str">
        <x:f>IF(AND(V$10&gt;=$E18,V$10&lt;=$F18),"■","")</x:f>
        <x:v>■</x:v>
      </x:c>
      <x:c r="W18" s="76" t="str">
        <x:f>IF(AND(W$10&gt;=$E18,W$10&lt;=$F18),"■","")</x:f>
        <x:v>■</x:v>
      </x:c>
      <x:c r="X18" s="76" t="str">
        <x:f>IF(AND(X$10&gt;=$E18,X$10&lt;=$F18),"■","")</x:f>
        <x:v>■</x:v>
      </x:c>
      <x:c r="Y18" s="76" t="str">
        <x:f>IF(AND(Y$10&gt;=$E18,Y$10&lt;=$F18),"■","")</x:f>
      </x:c>
      <x:c r="Z18" s="76" t="str">
        <x:f>IF(AND(Z$10&gt;=$E18,Z$10&lt;=$F18),"■","")</x:f>
      </x:c>
      <x:c r="AA18" s="76" t="str">
        <x:f>IF(AND(AA$10&gt;=$E18,AA$10&lt;=$F18),"■","")</x:f>
      </x:c>
      <x:c r="AB18" s="76" t="str">
        <x:f>IF(AND(AB$10&gt;=$E18,AB$10&lt;=$F18),"■","")</x:f>
      </x:c>
      <x:c r="AC18" s="76" t="str">
        <x:f>IF(AND(AC$10&gt;=$E18,AC$10&lt;=$F18),"■","")</x:f>
      </x:c>
      <x:c r="AD18" s="76" t="str">
        <x:f>IF(AND(AD$10&gt;=$E18,AD$10&lt;=$F18),"■","")</x:f>
      </x:c>
      <x:c r="AE18" s="76" t="str">
        <x:f>IF(AND(AE$10&gt;=$E18,AE$10&lt;=$F18),"■","")</x:f>
      </x:c>
      <x:c r="AF18" s="76" t="str">
        <x:f>IF(AND(AF$10&gt;=$E18,AF$10&lt;=$F18),"■","")</x:f>
      </x:c>
      <x:c r="AG18" s="76" t="str">
        <x:f>IF(AND(AG$10&gt;=$E18,AG$10&lt;=$F18),"■","")</x:f>
      </x:c>
      <x:c r="AH18" s="76" t="str">
        <x:f>IF(AND(AH$10&gt;=$E18,AH$10&lt;=$F18),"■","")</x:f>
      </x:c>
      <x:c r="AI18" s="76" t="str">
        <x:f>IF(AND(AI$10&gt;=$E18,AI$10&lt;=$F18),"■","")</x:f>
      </x:c>
      <x:c r="AJ18" s="76" t="str">
        <x:f>IF(AND(AJ$10&gt;=$E18,AJ$10&lt;=$F18),"■","")</x:f>
      </x:c>
      <x:c r="AK18" s="76" t="str">
        <x:f>IF(AND(AK$10&gt;=$E18,AK$10&lt;=$F18),"■","")</x:f>
      </x:c>
      <x:c r="AL18" s="76" t="str">
        <x:f>IF(AND(AL$10&gt;=$E18,AL$10&lt;=$F18),"■","")</x:f>
      </x:c>
      <x:c r="AM18" s="76" t="str">
        <x:f>IF(AND(AM$10&gt;=$E18,AM$10&lt;=$F18),"■","")</x:f>
      </x:c>
      <x:c r="AN18" s="76" t="str">
        <x:f>IF(AND(AN$10&gt;=$E18,AN$10&lt;=$F18),"■","")</x:f>
      </x:c>
    </x:row>
    <x:row r="19" ht="38" customHeight="1">
      <x:c r="A19" s="86" t="n">
        <x:v>9</x:v>
      </x:c>
      <x:c r="B19" s="86" t="str">
        <x:v>秋季口味蛋糕及切块上线</x:v>
      </x:c>
      <x:c r="C19" s="86" t="str">
        <x:v>门店</x:v>
      </x:c>
      <x:c r="D19" s="86" t="str">
        <x:v>门店话术、包装与配送测试</x:v>
      </x:c>
      <x:c r="E19" s="87" t="n">
        <x:v>46309</x:v>
      </x:c>
      <x:c r="F19" s="87" t="n">
        <x:v>46311</x:v>
      </x:c>
      <x:c r="G19" s="88" t="n">
        <x:f>F19-E19+1</x:f>
        <x:v>3</x:v>
      </x:c>
      <x:c r="H19" s="86" t="str">
        <x:v>一线推荐、包装稳定性和配送测试通过</x:v>
      </x:c>
      <x:c r="I19" s="86" t="str"/>
      <x:c r="J19" s="76" t="str">
        <x:f>IF(AND(J$10&gt;=$E19,J$10&lt;=$F19),"■","")</x:f>
      </x:c>
      <x:c r="K19" s="76" t="str">
        <x:f>IF(AND(K$10&gt;=$E19,K$10&lt;=$F19),"■","")</x:f>
      </x:c>
      <x:c r="L19" s="76" t="str">
        <x:f>IF(AND(L$10&gt;=$E19,L$10&lt;=$F19),"■","")</x:f>
      </x:c>
      <x:c r="M19" s="76" t="str">
        <x:f>IF(AND(M$10&gt;=$E19,M$10&lt;=$F19),"■","")</x:f>
      </x:c>
      <x:c r="N19" s="76" t="str">
        <x:f>IF(AND(N$10&gt;=$E19,N$10&lt;=$F19),"■","")</x:f>
      </x:c>
      <x:c r="O19" s="76" t="str">
        <x:f>IF(AND(O$10&gt;=$E19,O$10&lt;=$F19),"■","")</x:f>
      </x:c>
      <x:c r="P19" s="76" t="str">
        <x:f>IF(AND(P$10&gt;=$E19,P$10&lt;=$F19),"■","")</x:f>
      </x:c>
      <x:c r="Q19" s="76" t="str">
        <x:f>IF(AND(Q$10&gt;=$E19,Q$10&lt;=$F19),"■","")</x:f>
      </x:c>
      <x:c r="R19" s="76" t="str">
        <x:f>IF(AND(R$10&gt;=$E19,R$10&lt;=$F19),"■","")</x:f>
      </x:c>
      <x:c r="S19" s="76" t="str">
        <x:f>IF(AND(S$10&gt;=$E19,S$10&lt;=$F19),"■","")</x:f>
      </x:c>
      <x:c r="T19" s="76" t="str">
        <x:f>IF(AND(T$10&gt;=$E19,T$10&lt;=$F19),"■","")</x:f>
      </x:c>
      <x:c r="U19" s="76" t="str">
        <x:f>IF(AND(U$10&gt;=$E19,U$10&lt;=$F19),"■","")</x:f>
      </x:c>
      <x:c r="V19" s="76" t="str">
        <x:f>IF(AND(V$10&gt;=$E19,V$10&lt;=$F19),"■","")</x:f>
      </x:c>
      <x:c r="W19" s="76" t="str">
        <x:f>IF(AND(W$10&gt;=$E19,W$10&lt;=$F19),"■","")</x:f>
        <x:v>■</x:v>
      </x:c>
      <x:c r="X19" s="76" t="str">
        <x:f>IF(AND(X$10&gt;=$E19,X$10&lt;=$F19),"■","")</x:f>
        <x:v>■</x:v>
      </x:c>
      <x:c r="Y19" s="76" t="str">
        <x:f>IF(AND(Y$10&gt;=$E19,Y$10&lt;=$F19),"■","")</x:f>
        <x:v>■</x:v>
      </x:c>
      <x:c r="Z19" s="76" t="str">
        <x:f>IF(AND(Z$10&gt;=$E19,Z$10&lt;=$F19),"■","")</x:f>
      </x:c>
      <x:c r="AA19" s="76" t="str">
        <x:f>IF(AND(AA$10&gt;=$E19,AA$10&lt;=$F19),"■","")</x:f>
      </x:c>
      <x:c r="AB19" s="76" t="str">
        <x:f>IF(AND(AB$10&gt;=$E19,AB$10&lt;=$F19),"■","")</x:f>
      </x:c>
      <x:c r="AC19" s="76" t="str">
        <x:f>IF(AND(AC$10&gt;=$E19,AC$10&lt;=$F19),"■","")</x:f>
      </x:c>
      <x:c r="AD19" s="76" t="str">
        <x:f>IF(AND(AD$10&gt;=$E19,AD$10&lt;=$F19),"■","")</x:f>
      </x:c>
      <x:c r="AE19" s="76" t="str">
        <x:f>IF(AND(AE$10&gt;=$E19,AE$10&lt;=$F19),"■","")</x:f>
      </x:c>
      <x:c r="AF19" s="76" t="str">
        <x:f>IF(AND(AF$10&gt;=$E19,AF$10&lt;=$F19),"■","")</x:f>
      </x:c>
      <x:c r="AG19" s="76" t="str">
        <x:f>IF(AND(AG$10&gt;=$E19,AG$10&lt;=$F19),"■","")</x:f>
      </x:c>
      <x:c r="AH19" s="76" t="str">
        <x:f>IF(AND(AH$10&gt;=$E19,AH$10&lt;=$F19),"■","")</x:f>
      </x:c>
      <x:c r="AI19" s="76" t="str">
        <x:f>IF(AND(AI$10&gt;=$E19,AI$10&lt;=$F19),"■","")</x:f>
      </x:c>
      <x:c r="AJ19" s="76" t="str">
        <x:f>IF(AND(AJ$10&gt;=$E19,AJ$10&lt;=$F19),"■","")</x:f>
      </x:c>
      <x:c r="AK19" s="76" t="str">
        <x:f>IF(AND(AK$10&gt;=$E19,AK$10&lt;=$F19),"■","")</x:f>
      </x:c>
      <x:c r="AL19" s="76" t="str">
        <x:f>IF(AND(AL$10&gt;=$E19,AL$10&lt;=$F19),"■","")</x:f>
      </x:c>
      <x:c r="AM19" s="76" t="str">
        <x:f>IF(AND(AM$10&gt;=$E19,AM$10&lt;=$F19),"■","")</x:f>
      </x:c>
      <x:c r="AN19" s="76" t="str">
        <x:f>IF(AND(AN$10&gt;=$E19,AN$10&lt;=$F19),"■","")</x:f>
      </x:c>
    </x:row>
    <x:row r="20" ht="38" customHeight="1">
      <x:c r="A20" s="86" t="n">
        <x:v>10</x:v>
      </x:c>
      <x:c r="B20" s="86" t="str">
        <x:v>秋季口味蛋糕及切块上线</x:v>
      </x:c>
      <x:c r="C20" s="86" t="str">
        <x:v>全渠道</x:v>
      </x:c>
      <x:c r="D20" s="86" t="str">
        <x:v>秋季口味蛋糕与切块同步上线</x:v>
      </x:c>
      <x:c r="E20" s="87" t="n">
        <x:v>46313</x:v>
      </x:c>
      <x:c r="F20" s="87" t="n">
        <x:v>46313</x:v>
      </x:c>
      <x:c r="G20" s="88" t="n">
        <x:f>F20-E20+1</x:f>
        <x:v>1</x:v>
      </x:c>
      <x:c r="H20" s="86" t="str">
        <x:v>所有在营渠道可售并完成首轮触达</x:v>
      </x:c>
      <x:c r="I20" s="86" t="str"/>
      <x:c r="J20" s="76" t="str">
        <x:f>IF(AND(J$10&gt;=$E20,J$10&lt;=$F20),"■","")</x:f>
      </x:c>
      <x:c r="K20" s="76" t="str">
        <x:f>IF(AND(K$10&gt;=$E20,K$10&lt;=$F20),"■","")</x:f>
      </x:c>
      <x:c r="L20" s="76" t="str">
        <x:f>IF(AND(L$10&gt;=$E20,L$10&lt;=$F20),"■","")</x:f>
      </x:c>
      <x:c r="M20" s="76" t="str">
        <x:f>IF(AND(M$10&gt;=$E20,M$10&lt;=$F20),"■","")</x:f>
      </x:c>
      <x:c r="N20" s="76" t="str">
        <x:f>IF(AND(N$10&gt;=$E20,N$10&lt;=$F20),"■","")</x:f>
      </x:c>
      <x:c r="O20" s="76" t="str">
        <x:f>IF(AND(O$10&gt;=$E20,O$10&lt;=$F20),"■","")</x:f>
      </x:c>
      <x:c r="P20" s="76" t="str">
        <x:f>IF(AND(P$10&gt;=$E20,P$10&lt;=$F20),"■","")</x:f>
      </x:c>
      <x:c r="Q20" s="76" t="str">
        <x:f>IF(AND(Q$10&gt;=$E20,Q$10&lt;=$F20),"■","")</x:f>
      </x:c>
      <x:c r="R20" s="76" t="str">
        <x:f>IF(AND(R$10&gt;=$E20,R$10&lt;=$F20),"■","")</x:f>
      </x:c>
      <x:c r="S20" s="76" t="str">
        <x:f>IF(AND(S$10&gt;=$E20,S$10&lt;=$F20),"■","")</x:f>
      </x:c>
      <x:c r="T20" s="76" t="str">
        <x:f>IF(AND(T$10&gt;=$E20,T$10&lt;=$F20),"■","")</x:f>
      </x:c>
      <x:c r="U20" s="76" t="str">
        <x:f>IF(AND(U$10&gt;=$E20,U$10&lt;=$F20),"■","")</x:f>
      </x:c>
      <x:c r="V20" s="76" t="str">
        <x:f>IF(AND(V$10&gt;=$E20,V$10&lt;=$F20),"■","")</x:f>
      </x:c>
      <x:c r="W20" s="76" t="str">
        <x:f>IF(AND(W$10&gt;=$E20,W$10&lt;=$F20),"■","")</x:f>
      </x:c>
      <x:c r="X20" s="76" t="str">
        <x:f>IF(AND(X$10&gt;=$E20,X$10&lt;=$F20),"■","")</x:f>
      </x:c>
      <x:c r="Y20" s="76" t="str">
        <x:f>IF(AND(Y$10&gt;=$E20,Y$10&lt;=$F20),"■","")</x:f>
      </x:c>
      <x:c r="Z20" s="76" t="str">
        <x:f>IF(AND(Z$10&gt;=$E20,Z$10&lt;=$F20),"■","")</x:f>
      </x:c>
      <x:c r="AA20" s="76" t="str">
        <x:f>IF(AND(AA$10&gt;=$E20,AA$10&lt;=$F20),"■","")</x:f>
        <x:v>■</x:v>
      </x:c>
      <x:c r="AB20" s="76" t="str">
        <x:f>IF(AND(AB$10&gt;=$E20,AB$10&lt;=$F20),"■","")</x:f>
      </x:c>
      <x:c r="AC20" s="76" t="str">
        <x:f>IF(AND(AC$10&gt;=$E20,AC$10&lt;=$F20),"■","")</x:f>
      </x:c>
      <x:c r="AD20" s="76" t="str">
        <x:f>IF(AND(AD$10&gt;=$E20,AD$10&lt;=$F20),"■","")</x:f>
      </x:c>
      <x:c r="AE20" s="76" t="str">
        <x:f>IF(AND(AE$10&gt;=$E20,AE$10&lt;=$F20),"■","")</x:f>
      </x:c>
      <x:c r="AF20" s="76" t="str">
        <x:f>IF(AND(AF$10&gt;=$E20,AF$10&lt;=$F20),"■","")</x:f>
      </x:c>
      <x:c r="AG20" s="76" t="str">
        <x:f>IF(AND(AG$10&gt;=$E20,AG$10&lt;=$F20),"■","")</x:f>
      </x:c>
      <x:c r="AH20" s="76" t="str">
        <x:f>IF(AND(AH$10&gt;=$E20,AH$10&lt;=$F20),"■","")</x:f>
      </x:c>
      <x:c r="AI20" s="76" t="str">
        <x:f>IF(AND(AI$10&gt;=$E20,AI$10&lt;=$F20),"■","")</x:f>
      </x:c>
      <x:c r="AJ20" s="76" t="str">
        <x:f>IF(AND(AJ$10&gt;=$E20,AJ$10&lt;=$F20),"■","")</x:f>
      </x:c>
      <x:c r="AK20" s="76" t="str">
        <x:f>IF(AND(AK$10&gt;=$E20,AK$10&lt;=$F20),"■","")</x:f>
      </x:c>
      <x:c r="AL20" s="76" t="str">
        <x:f>IF(AND(AL$10&gt;=$E20,AL$10&lt;=$F20),"■","")</x:f>
      </x:c>
      <x:c r="AM20" s="76" t="str">
        <x:f>IF(AND(AM$10&gt;=$E20,AM$10&lt;=$F20),"■","")</x:f>
      </x:c>
      <x:c r="AN20" s="76" t="str">
        <x:f>IF(AND(AN$10&gt;=$E20,AN$10&lt;=$F20),"■","")</x:f>
      </x:c>
    </x:row>
    <x:row r="21" ht="38" customHeight="1">
      <x:c r="A21" s="86" t="n">
        <x:v>11</x:v>
      </x:c>
      <x:c r="B21" s="86" t="str">
        <x:v>秋季口味蛋糕及切块上线</x:v>
      </x:c>
      <x:c r="C21" s="86" t="str">
        <x:v>小红书</x:v>
      </x:c>
      <x:c r="D21" s="86" t="str">
        <x:v>自有账号体验官招募</x:v>
      </x:c>
      <x:c r="E21" s="87" t="n">
        <x:v>46309</x:v>
      </x:c>
      <x:c r="F21" s="87" t="n">
        <x:v>46312</x:v>
      </x:c>
      <x:c r="G21" s="88" t="n">
        <x:f>F21-E21+1</x:f>
        <x:v>4</x:v>
      </x:c>
      <x:c r="H21" s="86" t="str">
        <x:v>招募 5-10 人，私信加企微路径可用</x:v>
      </x:c>
      <x:c r="I21" s="86" t="str"/>
      <x:c r="J21" s="76" t="str">
        <x:f>IF(AND(J$10&gt;=$E21,J$10&lt;=$F21),"■","")</x:f>
      </x:c>
      <x:c r="K21" s="76" t="str">
        <x:f>IF(AND(K$10&gt;=$E21,K$10&lt;=$F21),"■","")</x:f>
      </x:c>
      <x:c r="L21" s="76" t="str">
        <x:f>IF(AND(L$10&gt;=$E21,L$10&lt;=$F21),"■","")</x:f>
      </x:c>
      <x:c r="M21" s="76" t="str">
        <x:f>IF(AND(M$10&gt;=$E21,M$10&lt;=$F21),"■","")</x:f>
      </x:c>
      <x:c r="N21" s="76" t="str">
        <x:f>IF(AND(N$10&gt;=$E21,N$10&lt;=$F21),"■","")</x:f>
      </x:c>
      <x:c r="O21" s="76" t="str">
        <x:f>IF(AND(O$10&gt;=$E21,O$10&lt;=$F21),"■","")</x:f>
      </x:c>
      <x:c r="P21" s="76" t="str">
        <x:f>IF(AND(P$10&gt;=$E21,P$10&lt;=$F21),"■","")</x:f>
      </x:c>
      <x:c r="Q21" s="76" t="str">
        <x:f>IF(AND(Q$10&gt;=$E21,Q$10&lt;=$F21),"■","")</x:f>
      </x:c>
      <x:c r="R21" s="76" t="str">
        <x:f>IF(AND(R$10&gt;=$E21,R$10&lt;=$F21),"■","")</x:f>
      </x:c>
      <x:c r="S21" s="76" t="str">
        <x:f>IF(AND(S$10&gt;=$E21,S$10&lt;=$F21),"■","")</x:f>
      </x:c>
      <x:c r="T21" s="76" t="str">
        <x:f>IF(AND(T$10&gt;=$E21,T$10&lt;=$F21),"■","")</x:f>
      </x:c>
      <x:c r="U21" s="76" t="str">
        <x:f>IF(AND(U$10&gt;=$E21,U$10&lt;=$F21),"■","")</x:f>
      </x:c>
      <x:c r="V21" s="76" t="str">
        <x:f>IF(AND(V$10&gt;=$E21,V$10&lt;=$F21),"■","")</x:f>
      </x:c>
      <x:c r="W21" s="76" t="str">
        <x:f>IF(AND(W$10&gt;=$E21,W$10&lt;=$F21),"■","")</x:f>
        <x:v>■</x:v>
      </x:c>
      <x:c r="X21" s="76" t="str">
        <x:f>IF(AND(X$10&gt;=$E21,X$10&lt;=$F21),"■","")</x:f>
        <x:v>■</x:v>
      </x:c>
      <x:c r="Y21" s="76" t="str">
        <x:f>IF(AND(Y$10&gt;=$E21,Y$10&lt;=$F21),"■","")</x:f>
        <x:v>■</x:v>
      </x:c>
      <x:c r="Z21" s="76" t="str">
        <x:f>IF(AND(Z$10&gt;=$E21,Z$10&lt;=$F21),"■","")</x:f>
        <x:v>■</x:v>
      </x:c>
      <x:c r="AA21" s="76" t="str">
        <x:f>IF(AND(AA$10&gt;=$E21,AA$10&lt;=$F21),"■","")</x:f>
      </x:c>
      <x:c r="AB21" s="76" t="str">
        <x:f>IF(AND(AB$10&gt;=$E21,AB$10&lt;=$F21),"■","")</x:f>
      </x:c>
      <x:c r="AC21" s="76" t="str">
        <x:f>IF(AND(AC$10&gt;=$E21,AC$10&lt;=$F21),"■","")</x:f>
      </x:c>
      <x:c r="AD21" s="76" t="str">
        <x:f>IF(AND(AD$10&gt;=$E21,AD$10&lt;=$F21),"■","")</x:f>
      </x:c>
      <x:c r="AE21" s="76" t="str">
        <x:f>IF(AND(AE$10&gt;=$E21,AE$10&lt;=$F21),"■","")</x:f>
      </x:c>
      <x:c r="AF21" s="76" t="str">
        <x:f>IF(AND(AF$10&gt;=$E21,AF$10&lt;=$F21),"■","")</x:f>
      </x:c>
      <x:c r="AG21" s="76" t="str">
        <x:f>IF(AND(AG$10&gt;=$E21,AG$10&lt;=$F21),"■","")</x:f>
      </x:c>
      <x:c r="AH21" s="76" t="str">
        <x:f>IF(AND(AH$10&gt;=$E21,AH$10&lt;=$F21),"■","")</x:f>
      </x:c>
      <x:c r="AI21" s="76" t="str">
        <x:f>IF(AND(AI$10&gt;=$E21,AI$10&lt;=$F21),"■","")</x:f>
      </x:c>
      <x:c r="AJ21" s="76" t="str">
        <x:f>IF(AND(AJ$10&gt;=$E21,AJ$10&lt;=$F21),"■","")</x:f>
      </x:c>
      <x:c r="AK21" s="76" t="str">
        <x:f>IF(AND(AK$10&gt;=$E21,AK$10&lt;=$F21),"■","")</x:f>
      </x:c>
      <x:c r="AL21" s="76" t="str">
        <x:f>IF(AND(AL$10&gt;=$E21,AL$10&lt;=$F21),"■","")</x:f>
      </x:c>
      <x:c r="AM21" s="76" t="str">
        <x:f>IF(AND(AM$10&gt;=$E21,AM$10&lt;=$F21),"■","")</x:f>
      </x:c>
      <x:c r="AN21" s="76" t="str">
        <x:f>IF(AND(AN$10&gt;=$E21,AN$10&lt;=$F21),"■","")</x:f>
      </x:c>
    </x:row>
    <x:row r="22" ht="38" customHeight="1">
      <x:c r="A22" s="86" t="n">
        <x:v>12</x:v>
      </x:c>
      <x:c r="B22" s="86" t="str">
        <x:v>秋季口味蛋糕及切块上线</x:v>
      </x:c>
      <x:c r="C22" s="86" t="str">
        <x:v>小红书</x:v>
      </x:c>
      <x:c r="D22" s="86" t="str">
        <x:v>体验官筛选、体验与内容回收</x:v>
      </x:c>
      <x:c r="E22" s="87" t="n">
        <x:v>46313</x:v>
      </x:c>
      <x:c r="F22" s="87" t="n">
        <x:v>46322</x:v>
      </x:c>
      <x:c r="G22" s="88" t="n">
        <x:f>F22-E22+1</x:f>
        <x:v>10</x:v>
      </x:c>
      <x:c r="H22" s="86" t="str">
        <x:v>报名、加企微、到店和发布人数分别统计</x:v>
      </x:c>
      <x:c r="I22" s="86" t="str"/>
      <x:c r="J22" s="76" t="str">
        <x:f>IF(AND(J$10&gt;=$E22,J$10&lt;=$F22),"■","")</x:f>
      </x:c>
      <x:c r="K22" s="76" t="str">
        <x:f>IF(AND(K$10&gt;=$E22,K$10&lt;=$F22),"■","")</x:f>
      </x:c>
      <x:c r="L22" s="76" t="str">
        <x:f>IF(AND(L$10&gt;=$E22,L$10&lt;=$F22),"■","")</x:f>
      </x:c>
      <x:c r="M22" s="76" t="str">
        <x:f>IF(AND(M$10&gt;=$E22,M$10&lt;=$F22),"■","")</x:f>
      </x:c>
      <x:c r="N22" s="76" t="str">
        <x:f>IF(AND(N$10&gt;=$E22,N$10&lt;=$F22),"■","")</x:f>
      </x:c>
      <x:c r="O22" s="76" t="str">
        <x:f>IF(AND(O$10&gt;=$E22,O$10&lt;=$F22),"■","")</x:f>
      </x:c>
      <x:c r="P22" s="76" t="str">
        <x:f>IF(AND(P$10&gt;=$E22,P$10&lt;=$F22),"■","")</x:f>
      </x:c>
      <x:c r="Q22" s="76" t="str">
        <x:f>IF(AND(Q$10&gt;=$E22,Q$10&lt;=$F22),"■","")</x:f>
      </x:c>
      <x:c r="R22" s="76" t="str">
        <x:f>IF(AND(R$10&gt;=$E22,R$10&lt;=$F22),"■","")</x:f>
      </x:c>
      <x:c r="S22" s="76" t="str">
        <x:f>IF(AND(S$10&gt;=$E22,S$10&lt;=$F22),"■","")</x:f>
      </x:c>
      <x:c r="T22" s="76" t="str">
        <x:f>IF(AND(T$10&gt;=$E22,T$10&lt;=$F22),"■","")</x:f>
      </x:c>
      <x:c r="U22" s="76" t="str">
        <x:f>IF(AND(U$10&gt;=$E22,U$10&lt;=$F22),"■","")</x:f>
      </x:c>
      <x:c r="V22" s="76" t="str">
        <x:f>IF(AND(V$10&gt;=$E22,V$10&lt;=$F22),"■","")</x:f>
      </x:c>
      <x:c r="W22" s="76" t="str">
        <x:f>IF(AND(W$10&gt;=$E22,W$10&lt;=$F22),"■","")</x:f>
      </x:c>
      <x:c r="X22" s="76" t="str">
        <x:f>IF(AND(X$10&gt;=$E22,X$10&lt;=$F22),"■","")</x:f>
      </x:c>
      <x:c r="Y22" s="76" t="str">
        <x:f>IF(AND(Y$10&gt;=$E22,Y$10&lt;=$F22),"■","")</x:f>
      </x:c>
      <x:c r="Z22" s="76" t="str">
        <x:f>IF(AND(Z$10&gt;=$E22,Z$10&lt;=$F22),"■","")</x:f>
      </x:c>
      <x:c r="AA22" s="76" t="str">
        <x:f>IF(AND(AA$10&gt;=$E22,AA$10&lt;=$F22),"■","")</x:f>
        <x:v>■</x:v>
      </x:c>
      <x:c r="AB22" s="76" t="str">
        <x:f>IF(AND(AB$10&gt;=$E22,AB$10&lt;=$F22),"■","")</x:f>
        <x:v>■</x:v>
      </x:c>
      <x:c r="AC22" s="76" t="str">
        <x:f>IF(AND(AC$10&gt;=$E22,AC$10&lt;=$F22),"■","")</x:f>
        <x:v>■</x:v>
      </x:c>
      <x:c r="AD22" s="76" t="str">
        <x:f>IF(AND(AD$10&gt;=$E22,AD$10&lt;=$F22),"■","")</x:f>
        <x:v>■</x:v>
      </x:c>
      <x:c r="AE22" s="76" t="str">
        <x:f>IF(AND(AE$10&gt;=$E22,AE$10&lt;=$F22),"■","")</x:f>
        <x:v>■</x:v>
      </x:c>
      <x:c r="AF22" s="76" t="str">
        <x:f>IF(AND(AF$10&gt;=$E22,AF$10&lt;=$F22),"■","")</x:f>
        <x:v>■</x:v>
      </x:c>
      <x:c r="AG22" s="76" t="str">
        <x:f>IF(AND(AG$10&gt;=$E22,AG$10&lt;=$F22),"■","")</x:f>
        <x:v>■</x:v>
      </x:c>
      <x:c r="AH22" s="76" t="str">
        <x:f>IF(AND(AH$10&gt;=$E22,AH$10&lt;=$F22),"■","")</x:f>
        <x:v>■</x:v>
      </x:c>
      <x:c r="AI22" s="76" t="str">
        <x:f>IF(AND(AI$10&gt;=$E22,AI$10&lt;=$F22),"■","")</x:f>
        <x:v>■</x:v>
      </x:c>
      <x:c r="AJ22" s="76" t="str">
        <x:f>IF(AND(AJ$10&gt;=$E22,AJ$10&lt;=$F22),"■","")</x:f>
        <x:v>■</x:v>
      </x:c>
      <x:c r="AK22" s="76" t="str">
        <x:f>IF(AND(AK$10&gt;=$E22,AK$10&lt;=$F22),"■","")</x:f>
      </x:c>
      <x:c r="AL22" s="76" t="str">
        <x:f>IF(AND(AL$10&gt;=$E22,AL$10&lt;=$F22),"■","")</x:f>
      </x:c>
      <x:c r="AM22" s="76" t="str">
        <x:f>IF(AND(AM$10&gt;=$E22,AM$10&lt;=$F22),"■","")</x:f>
      </x:c>
      <x:c r="AN22" s="76" t="str">
        <x:f>IF(AND(AN$10&gt;=$E22,AN$10&lt;=$F22),"■","")</x:f>
      </x:c>
    </x:row>
    <x:row r="23" ht="38" customHeight="1">
      <x:c r="A23" s="86" t="n">
        <x:v>13</x:v>
      </x:c>
      <x:c r="B23" s="86" t="str">
        <x:v>秋季口味蛋糕及切块上线</x:v>
      </x:c>
      <x:c r="C23" s="86" t="str">
        <x:v>小红书</x:v>
      </x:c>
      <x:c r="D23" s="86" t="str">
        <x:v>外部付费博主探店</x:v>
      </x:c>
      <x:c r="E23" s="87" t="n">
        <x:v>46311</x:v>
      </x:c>
      <x:c r="F23" s="87" t="n">
        <x:v>46323</x:v>
      </x:c>
      <x:c r="G23" s="88" t="n">
        <x:f>F23-E23+1</x:f>
        <x:v>13</x:v>
      </x:c>
      <x:c r="H23" s="86" t="str">
        <x:v>3-10 人，记录单人成本、互动、私信和成交来源</x:v>
      </x:c>
      <x:c r="I23" s="86" t="str"/>
      <x:c r="J23" s="76" t="str">
        <x:f>IF(AND(J$10&gt;=$E23,J$10&lt;=$F23),"■","")</x:f>
      </x:c>
      <x:c r="K23" s="76" t="str">
        <x:f>IF(AND(K$10&gt;=$E23,K$10&lt;=$F23),"■","")</x:f>
      </x:c>
      <x:c r="L23" s="76" t="str">
        <x:f>IF(AND(L$10&gt;=$E23,L$10&lt;=$F23),"■","")</x:f>
      </x:c>
      <x:c r="M23" s="76" t="str">
        <x:f>IF(AND(M$10&gt;=$E23,M$10&lt;=$F23),"■","")</x:f>
      </x:c>
      <x:c r="N23" s="76" t="str">
        <x:f>IF(AND(N$10&gt;=$E23,N$10&lt;=$F23),"■","")</x:f>
      </x:c>
      <x:c r="O23" s="76" t="str">
        <x:f>IF(AND(O$10&gt;=$E23,O$10&lt;=$F23),"■","")</x:f>
      </x:c>
      <x:c r="P23" s="76" t="str">
        <x:f>IF(AND(P$10&gt;=$E23,P$10&lt;=$F23),"■","")</x:f>
      </x:c>
      <x:c r="Q23" s="76" t="str">
        <x:f>IF(AND(Q$10&gt;=$E23,Q$10&lt;=$F23),"■","")</x:f>
      </x:c>
      <x:c r="R23" s="76" t="str">
        <x:f>IF(AND(R$10&gt;=$E23,R$10&lt;=$F23),"■","")</x:f>
      </x:c>
      <x:c r="S23" s="76" t="str">
        <x:f>IF(AND(S$10&gt;=$E23,S$10&lt;=$F23),"■","")</x:f>
      </x:c>
      <x:c r="T23" s="76" t="str">
        <x:f>IF(AND(T$10&gt;=$E23,T$10&lt;=$F23),"■","")</x:f>
      </x:c>
      <x:c r="U23" s="76" t="str">
        <x:f>IF(AND(U$10&gt;=$E23,U$10&lt;=$F23),"■","")</x:f>
      </x:c>
      <x:c r="V23" s="76" t="str">
        <x:f>IF(AND(V$10&gt;=$E23,V$10&lt;=$F23),"■","")</x:f>
      </x:c>
      <x:c r="W23" s="76" t="str">
        <x:f>IF(AND(W$10&gt;=$E23,W$10&lt;=$F23),"■","")</x:f>
      </x:c>
      <x:c r="X23" s="76" t="str">
        <x:f>IF(AND(X$10&gt;=$E23,X$10&lt;=$F23),"■","")</x:f>
      </x:c>
      <x:c r="Y23" s="76" t="str">
        <x:f>IF(AND(Y$10&gt;=$E23,Y$10&lt;=$F23),"■","")</x:f>
        <x:v>■</x:v>
      </x:c>
      <x:c r="Z23" s="76" t="str">
        <x:f>IF(AND(Z$10&gt;=$E23,Z$10&lt;=$F23),"■","")</x:f>
        <x:v>■</x:v>
      </x:c>
      <x:c r="AA23" s="76" t="str">
        <x:f>IF(AND(AA$10&gt;=$E23,AA$10&lt;=$F23),"■","")</x:f>
        <x:v>■</x:v>
      </x:c>
      <x:c r="AB23" s="76" t="str">
        <x:f>IF(AND(AB$10&gt;=$E23,AB$10&lt;=$F23),"■","")</x:f>
        <x:v>■</x:v>
      </x:c>
      <x:c r="AC23" s="76" t="str">
        <x:f>IF(AND(AC$10&gt;=$E23,AC$10&lt;=$F23),"■","")</x:f>
        <x:v>■</x:v>
      </x:c>
      <x:c r="AD23" s="76" t="str">
        <x:f>IF(AND(AD$10&gt;=$E23,AD$10&lt;=$F23),"■","")</x:f>
        <x:v>■</x:v>
      </x:c>
      <x:c r="AE23" s="76" t="str">
        <x:f>IF(AND(AE$10&gt;=$E23,AE$10&lt;=$F23),"■","")</x:f>
        <x:v>■</x:v>
      </x:c>
      <x:c r="AF23" s="76" t="str">
        <x:f>IF(AND(AF$10&gt;=$E23,AF$10&lt;=$F23),"■","")</x:f>
        <x:v>■</x:v>
      </x:c>
      <x:c r="AG23" s="76" t="str">
        <x:f>IF(AND(AG$10&gt;=$E23,AG$10&lt;=$F23),"■","")</x:f>
        <x:v>■</x:v>
      </x:c>
      <x:c r="AH23" s="76" t="str">
        <x:f>IF(AND(AH$10&gt;=$E23,AH$10&lt;=$F23),"■","")</x:f>
        <x:v>■</x:v>
      </x:c>
      <x:c r="AI23" s="76" t="str">
        <x:f>IF(AND(AI$10&gt;=$E23,AI$10&lt;=$F23),"■","")</x:f>
        <x:v>■</x:v>
      </x:c>
      <x:c r="AJ23" s="76" t="str">
        <x:f>IF(AND(AJ$10&gt;=$E23,AJ$10&lt;=$F23),"■","")</x:f>
        <x:v>■</x:v>
      </x:c>
      <x:c r="AK23" s="76" t="str">
        <x:f>IF(AND(AK$10&gt;=$E23,AK$10&lt;=$F23),"■","")</x:f>
        <x:v>■</x:v>
      </x:c>
      <x:c r="AL23" s="76" t="str">
        <x:f>IF(AND(AL$10&gt;=$E23,AL$10&lt;=$F23),"■","")</x:f>
      </x:c>
      <x:c r="AM23" s="76" t="str">
        <x:f>IF(AND(AM$10&gt;=$E23,AM$10&lt;=$F23),"■","")</x:f>
      </x:c>
      <x:c r="AN23" s="76" t="str">
        <x:f>IF(AND(AN$10&gt;=$E23,AN$10&lt;=$F23),"■","")</x:f>
      </x:c>
    </x:row>
    <x:row r="24" ht="38" customHeight="1">
      <x:c r="A24" s="86" t="n">
        <x:v>14</x:v>
      </x:c>
      <x:c r="B24" s="86" t="str">
        <x:v>秋季口味蛋糕及切块上线</x:v>
      </x:c>
      <x:c r="C24" s="86" t="str">
        <x:v>小红书</x:v>
      </x:c>
      <x:c r="D24" s="86" t="str">
        <x:v>外部置换博主探店</x:v>
      </x:c>
      <x:c r="E24" s="87" t="n">
        <x:v>46311</x:v>
      </x:c>
      <x:c r="F24" s="87" t="n">
        <x:v>46323</x:v>
      </x:c>
      <x:c r="G24" s="88" t="n">
        <x:f>F24-E24+1</x:f>
        <x:v>13</x:v>
      </x:c>
      <x:c r="H24" s="86" t="str">
        <x:v>送蛋糕换笔记，送样成本和有效发布单独统计</x:v>
      </x:c>
      <x:c r="I24" s="86" t="str"/>
      <x:c r="J24" s="76" t="str">
        <x:f>IF(AND(J$10&gt;=$E24,J$10&lt;=$F24),"■","")</x:f>
      </x:c>
      <x:c r="K24" s="76" t="str">
        <x:f>IF(AND(K$10&gt;=$E24,K$10&lt;=$F24),"■","")</x:f>
      </x:c>
      <x:c r="L24" s="76" t="str">
        <x:f>IF(AND(L$10&gt;=$E24,L$10&lt;=$F24),"■","")</x:f>
      </x:c>
      <x:c r="M24" s="76" t="str">
        <x:f>IF(AND(M$10&gt;=$E24,M$10&lt;=$F24),"■","")</x:f>
      </x:c>
      <x:c r="N24" s="76" t="str">
        <x:f>IF(AND(N$10&gt;=$E24,N$10&lt;=$F24),"■","")</x:f>
      </x:c>
      <x:c r="O24" s="76" t="str">
        <x:f>IF(AND(O$10&gt;=$E24,O$10&lt;=$F24),"■","")</x:f>
      </x:c>
      <x:c r="P24" s="76" t="str">
        <x:f>IF(AND(P$10&gt;=$E24,P$10&lt;=$F24),"■","")</x:f>
      </x:c>
      <x:c r="Q24" s="76" t="str">
        <x:f>IF(AND(Q$10&gt;=$E24,Q$10&lt;=$F24),"■","")</x:f>
      </x:c>
      <x:c r="R24" s="76" t="str">
        <x:f>IF(AND(R$10&gt;=$E24,R$10&lt;=$F24),"■","")</x:f>
      </x:c>
      <x:c r="S24" s="76" t="str">
        <x:f>IF(AND(S$10&gt;=$E24,S$10&lt;=$F24),"■","")</x:f>
      </x:c>
      <x:c r="T24" s="76" t="str">
        <x:f>IF(AND(T$10&gt;=$E24,T$10&lt;=$F24),"■","")</x:f>
      </x:c>
      <x:c r="U24" s="76" t="str">
        <x:f>IF(AND(U$10&gt;=$E24,U$10&lt;=$F24),"■","")</x:f>
      </x:c>
      <x:c r="V24" s="76" t="str">
        <x:f>IF(AND(V$10&gt;=$E24,V$10&lt;=$F24),"■","")</x:f>
      </x:c>
      <x:c r="W24" s="76" t="str">
        <x:f>IF(AND(W$10&gt;=$E24,W$10&lt;=$F24),"■","")</x:f>
      </x:c>
      <x:c r="X24" s="76" t="str">
        <x:f>IF(AND(X$10&gt;=$E24,X$10&lt;=$F24),"■","")</x:f>
      </x:c>
      <x:c r="Y24" s="76" t="str">
        <x:f>IF(AND(Y$10&gt;=$E24,Y$10&lt;=$F24),"■","")</x:f>
        <x:v>■</x:v>
      </x:c>
      <x:c r="Z24" s="76" t="str">
        <x:f>IF(AND(Z$10&gt;=$E24,Z$10&lt;=$F24),"■","")</x:f>
        <x:v>■</x:v>
      </x:c>
      <x:c r="AA24" s="76" t="str">
        <x:f>IF(AND(AA$10&gt;=$E24,AA$10&lt;=$F24),"■","")</x:f>
        <x:v>■</x:v>
      </x:c>
      <x:c r="AB24" s="76" t="str">
        <x:f>IF(AND(AB$10&gt;=$E24,AB$10&lt;=$F24),"■","")</x:f>
        <x:v>■</x:v>
      </x:c>
      <x:c r="AC24" s="76" t="str">
        <x:f>IF(AND(AC$10&gt;=$E24,AC$10&lt;=$F24),"■","")</x:f>
        <x:v>■</x:v>
      </x:c>
      <x:c r="AD24" s="76" t="str">
        <x:f>IF(AND(AD$10&gt;=$E24,AD$10&lt;=$F24),"■","")</x:f>
        <x:v>■</x:v>
      </x:c>
      <x:c r="AE24" s="76" t="str">
        <x:f>IF(AND(AE$10&gt;=$E24,AE$10&lt;=$F24),"■","")</x:f>
        <x:v>■</x:v>
      </x:c>
      <x:c r="AF24" s="76" t="str">
        <x:f>IF(AND(AF$10&gt;=$E24,AF$10&lt;=$F24),"■","")</x:f>
        <x:v>■</x:v>
      </x:c>
      <x:c r="AG24" s="76" t="str">
        <x:f>IF(AND(AG$10&gt;=$E24,AG$10&lt;=$F24),"■","")</x:f>
        <x:v>■</x:v>
      </x:c>
      <x:c r="AH24" s="76" t="str">
        <x:f>IF(AND(AH$10&gt;=$E24,AH$10&lt;=$F24),"■","")</x:f>
        <x:v>■</x:v>
      </x:c>
      <x:c r="AI24" s="76" t="str">
        <x:f>IF(AND(AI$10&gt;=$E24,AI$10&lt;=$F24),"■","")</x:f>
        <x:v>■</x:v>
      </x:c>
      <x:c r="AJ24" s="76" t="str">
        <x:f>IF(AND(AJ$10&gt;=$E24,AJ$10&lt;=$F24),"■","")</x:f>
        <x:v>■</x:v>
      </x:c>
      <x:c r="AK24" s="76" t="str">
        <x:f>IF(AND(AK$10&gt;=$E24,AK$10&lt;=$F24),"■","")</x:f>
        <x:v>■</x:v>
      </x:c>
      <x:c r="AL24" s="76" t="str">
        <x:f>IF(AND(AL$10&gt;=$E24,AL$10&lt;=$F24),"■","")</x:f>
      </x:c>
      <x:c r="AM24" s="76" t="str">
        <x:f>IF(AND(AM$10&gt;=$E24,AM$10&lt;=$F24),"■","")</x:f>
      </x:c>
      <x:c r="AN24" s="76" t="str">
        <x:f>IF(AND(AN$10&gt;=$E24,AN$10&lt;=$F24),"■","")</x:f>
      </x:c>
    </x:row>
    <x:row r="25" ht="38" customHeight="1">
      <x:c r="A25" s="86" t="n">
        <x:v>15</x:v>
      </x:c>
      <x:c r="B25" s="86" t="str">
        <x:v>秋季口味蛋糕及切块上线</x:v>
      </x:c>
      <x:c r="C25" s="86" t="str">
        <x:v>小红书</x:v>
      </x:c>
      <x:c r="D25" s="86" t="str">
        <x:v>秋季上新笔记聚光投放</x:v>
      </x:c>
      <x:c r="E25" s="87" t="n">
        <x:v>46313</x:v>
      </x:c>
      <x:c r="F25" s="87" t="n">
        <x:v>46325</x:v>
      </x:c>
      <x:c r="G25" s="88" t="n">
        <x:f>F25-E25+1</x:f>
        <x:v>13</x:v>
      </x:c>
      <x:c r="H25" s="86" t="str">
        <x:v>按私信成本和加企微成本优化</x:v>
      </x:c>
      <x:c r="I25" s="86" t="str"/>
      <x:c r="J25" s="76" t="str">
        <x:f>IF(AND(J$10&gt;=$E25,J$10&lt;=$F25),"■","")</x:f>
      </x:c>
      <x:c r="K25" s="76" t="str">
        <x:f>IF(AND(K$10&gt;=$E25,K$10&lt;=$F25),"■","")</x:f>
      </x:c>
      <x:c r="L25" s="76" t="str">
        <x:f>IF(AND(L$10&gt;=$E25,L$10&lt;=$F25),"■","")</x:f>
      </x:c>
      <x:c r="M25" s="76" t="str">
        <x:f>IF(AND(M$10&gt;=$E25,M$10&lt;=$F25),"■","")</x:f>
      </x:c>
      <x:c r="N25" s="76" t="str">
        <x:f>IF(AND(N$10&gt;=$E25,N$10&lt;=$F25),"■","")</x:f>
      </x:c>
      <x:c r="O25" s="76" t="str">
        <x:f>IF(AND(O$10&gt;=$E25,O$10&lt;=$F25),"■","")</x:f>
      </x:c>
      <x:c r="P25" s="76" t="str">
        <x:f>IF(AND(P$10&gt;=$E25,P$10&lt;=$F25),"■","")</x:f>
      </x:c>
      <x:c r="Q25" s="76" t="str">
        <x:f>IF(AND(Q$10&gt;=$E25,Q$10&lt;=$F25),"■","")</x:f>
      </x:c>
      <x:c r="R25" s="76" t="str">
        <x:f>IF(AND(R$10&gt;=$E25,R$10&lt;=$F25),"■","")</x:f>
      </x:c>
      <x:c r="S25" s="76" t="str">
        <x:f>IF(AND(S$10&gt;=$E25,S$10&lt;=$F25),"■","")</x:f>
      </x:c>
      <x:c r="T25" s="76" t="str">
        <x:f>IF(AND(T$10&gt;=$E25,T$10&lt;=$F25),"■","")</x:f>
      </x:c>
      <x:c r="U25" s="76" t="str">
        <x:f>IF(AND(U$10&gt;=$E25,U$10&lt;=$F25),"■","")</x:f>
      </x:c>
      <x:c r="V25" s="76" t="str">
        <x:f>IF(AND(V$10&gt;=$E25,V$10&lt;=$F25),"■","")</x:f>
      </x:c>
      <x:c r="W25" s="76" t="str">
        <x:f>IF(AND(W$10&gt;=$E25,W$10&lt;=$F25),"■","")</x:f>
      </x:c>
      <x:c r="X25" s="76" t="str">
        <x:f>IF(AND(X$10&gt;=$E25,X$10&lt;=$F25),"■","")</x:f>
      </x:c>
      <x:c r="Y25" s="76" t="str">
        <x:f>IF(AND(Y$10&gt;=$E25,Y$10&lt;=$F25),"■","")</x:f>
      </x:c>
      <x:c r="Z25" s="76" t="str">
        <x:f>IF(AND(Z$10&gt;=$E25,Z$10&lt;=$F25),"■","")</x:f>
      </x:c>
      <x:c r="AA25" s="76" t="str">
        <x:f>IF(AND(AA$10&gt;=$E25,AA$10&lt;=$F25),"■","")</x:f>
        <x:v>■</x:v>
      </x:c>
      <x:c r="AB25" s="76" t="str">
        <x:f>IF(AND(AB$10&gt;=$E25,AB$10&lt;=$F25),"■","")</x:f>
        <x:v>■</x:v>
      </x:c>
      <x:c r="AC25" s="76" t="str">
        <x:f>IF(AND(AC$10&gt;=$E25,AC$10&lt;=$F25),"■","")</x:f>
        <x:v>■</x:v>
      </x:c>
      <x:c r="AD25" s="76" t="str">
        <x:f>IF(AND(AD$10&gt;=$E25,AD$10&lt;=$F25),"■","")</x:f>
        <x:v>■</x:v>
      </x:c>
      <x:c r="AE25" s="76" t="str">
        <x:f>IF(AND(AE$10&gt;=$E25,AE$10&lt;=$F25),"■","")</x:f>
        <x:v>■</x:v>
      </x:c>
      <x:c r="AF25" s="76" t="str">
        <x:f>IF(AND(AF$10&gt;=$E25,AF$10&lt;=$F25),"■","")</x:f>
        <x:v>■</x:v>
      </x:c>
      <x:c r="AG25" s="76" t="str">
        <x:f>IF(AND(AG$10&gt;=$E25,AG$10&lt;=$F25),"■","")</x:f>
        <x:v>■</x:v>
      </x:c>
      <x:c r="AH25" s="76" t="str">
        <x:f>IF(AND(AH$10&gt;=$E25,AH$10&lt;=$F25),"■","")</x:f>
        <x:v>■</x:v>
      </x:c>
      <x:c r="AI25" s="76" t="str">
        <x:f>IF(AND(AI$10&gt;=$E25,AI$10&lt;=$F25),"■","")</x:f>
        <x:v>■</x:v>
      </x:c>
      <x:c r="AJ25" s="76" t="str">
        <x:f>IF(AND(AJ$10&gt;=$E25,AJ$10&lt;=$F25),"■","")</x:f>
        <x:v>■</x:v>
      </x:c>
      <x:c r="AK25" s="76" t="str">
        <x:f>IF(AND(AK$10&gt;=$E25,AK$10&lt;=$F25),"■","")</x:f>
        <x:v>■</x:v>
      </x:c>
      <x:c r="AL25" s="76" t="str">
        <x:f>IF(AND(AL$10&gt;=$E25,AL$10&lt;=$F25),"■","")</x:f>
        <x:v>■</x:v>
      </x:c>
      <x:c r="AM25" s="76" t="str">
        <x:f>IF(AND(AM$10&gt;=$E25,AM$10&lt;=$F25),"■","")</x:f>
        <x:v>■</x:v>
      </x:c>
      <x:c r="AN25" s="76" t="str">
        <x:f>IF(AND(AN$10&gt;=$E25,AN$10&lt;=$F25),"■","")</x:f>
      </x:c>
    </x:row>
    <x:row r="26" ht="38" customHeight="1">
      <x:c r="A26" s="86" t="n">
        <x:v>16</x:v>
      </x:c>
      <x:c r="B26" s="86" t="str">
        <x:v>秋季口味蛋糕及切块上线</x:v>
      </x:c>
      <x:c r="C26" s="86" t="str">
        <x:v>私域</x:v>
      </x:c>
      <x:c r="D26" s="86" t="str">
        <x:v>朋友圈秋季口味征名</x:v>
      </x:c>
      <x:c r="E26" s="87" t="n">
        <x:v>46305</x:v>
      </x:c>
      <x:c r="F26" s="87" t="n">
        <x:v>46310</x:v>
      </x:c>
      <x:c r="G26" s="88" t="n">
        <x:f>F26-E26+1</x:f>
        <x:v>6</x:v>
      </x:c>
      <x:c r="H26" s="86" t="str">
        <x:v>参与、好友投票、新增企微和有效线索可统计</x:v>
      </x:c>
      <x:c r="I26" s="86" t="str"/>
      <x:c r="J26" s="76" t="str">
        <x:f>IF(AND(J$10&gt;=$E26,J$10&lt;=$F26),"■","")</x:f>
      </x:c>
      <x:c r="K26" s="76" t="str">
        <x:f>IF(AND(K$10&gt;=$E26,K$10&lt;=$F26),"■","")</x:f>
      </x:c>
      <x:c r="L26" s="76" t="str">
        <x:f>IF(AND(L$10&gt;=$E26,L$10&lt;=$F26),"■","")</x:f>
      </x:c>
      <x:c r="M26" s="76" t="str">
        <x:f>IF(AND(M$10&gt;=$E26,M$10&lt;=$F26),"■","")</x:f>
      </x:c>
      <x:c r="N26" s="76" t="str">
        <x:f>IF(AND(N$10&gt;=$E26,N$10&lt;=$F26),"■","")</x:f>
      </x:c>
      <x:c r="O26" s="76" t="str">
        <x:f>IF(AND(O$10&gt;=$E26,O$10&lt;=$F26),"■","")</x:f>
      </x:c>
      <x:c r="P26" s="76" t="str">
        <x:f>IF(AND(P$10&gt;=$E26,P$10&lt;=$F26),"■","")</x:f>
      </x:c>
      <x:c r="Q26" s="76" t="str">
        <x:f>IF(AND(Q$10&gt;=$E26,Q$10&lt;=$F26),"■","")</x:f>
      </x:c>
      <x:c r="R26" s="76" t="str">
        <x:f>IF(AND(R$10&gt;=$E26,R$10&lt;=$F26),"■","")</x:f>
      </x:c>
      <x:c r="S26" s="76" t="str">
        <x:f>IF(AND(S$10&gt;=$E26,S$10&lt;=$F26),"■","")</x:f>
        <x:v>■</x:v>
      </x:c>
      <x:c r="T26" s="76" t="str">
        <x:f>IF(AND(T$10&gt;=$E26,T$10&lt;=$F26),"■","")</x:f>
        <x:v>■</x:v>
      </x:c>
      <x:c r="U26" s="76" t="str">
        <x:f>IF(AND(U$10&gt;=$E26,U$10&lt;=$F26),"■","")</x:f>
        <x:v>■</x:v>
      </x:c>
      <x:c r="V26" s="76" t="str">
        <x:f>IF(AND(V$10&gt;=$E26,V$10&lt;=$F26),"■","")</x:f>
        <x:v>■</x:v>
      </x:c>
      <x:c r="W26" s="76" t="str">
        <x:f>IF(AND(W$10&gt;=$E26,W$10&lt;=$F26),"■","")</x:f>
        <x:v>■</x:v>
      </x:c>
      <x:c r="X26" s="76" t="str">
        <x:f>IF(AND(X$10&gt;=$E26,X$10&lt;=$F26),"■","")</x:f>
        <x:v>■</x:v>
      </x:c>
      <x:c r="Y26" s="76" t="str">
        <x:f>IF(AND(Y$10&gt;=$E26,Y$10&lt;=$F26),"■","")</x:f>
      </x:c>
      <x:c r="Z26" s="76" t="str">
        <x:f>IF(AND(Z$10&gt;=$E26,Z$10&lt;=$F26),"■","")</x:f>
      </x:c>
      <x:c r="AA26" s="76" t="str">
        <x:f>IF(AND(AA$10&gt;=$E26,AA$10&lt;=$F26),"■","")</x:f>
      </x:c>
      <x:c r="AB26" s="76" t="str">
        <x:f>IF(AND(AB$10&gt;=$E26,AB$10&lt;=$F26),"■","")</x:f>
      </x:c>
      <x:c r="AC26" s="76" t="str">
        <x:f>IF(AND(AC$10&gt;=$E26,AC$10&lt;=$F26),"■","")</x:f>
      </x:c>
      <x:c r="AD26" s="76" t="str">
        <x:f>IF(AND(AD$10&gt;=$E26,AD$10&lt;=$F26),"■","")</x:f>
      </x:c>
      <x:c r="AE26" s="76" t="str">
        <x:f>IF(AND(AE$10&gt;=$E26,AE$10&lt;=$F26),"■","")</x:f>
      </x:c>
      <x:c r="AF26" s="76" t="str">
        <x:f>IF(AND(AF$10&gt;=$E26,AF$10&lt;=$F26),"■","")</x:f>
      </x:c>
      <x:c r="AG26" s="76" t="str">
        <x:f>IF(AND(AG$10&gt;=$E26,AG$10&lt;=$F26),"■","")</x:f>
      </x:c>
      <x:c r="AH26" s="76" t="str">
        <x:f>IF(AND(AH$10&gt;=$E26,AH$10&lt;=$F26),"■","")</x:f>
      </x:c>
      <x:c r="AI26" s="76" t="str">
        <x:f>IF(AND(AI$10&gt;=$E26,AI$10&lt;=$F26),"■","")</x:f>
      </x:c>
      <x:c r="AJ26" s="76" t="str">
        <x:f>IF(AND(AJ$10&gt;=$E26,AJ$10&lt;=$F26),"■","")</x:f>
      </x:c>
      <x:c r="AK26" s="76" t="str">
        <x:f>IF(AND(AK$10&gt;=$E26,AK$10&lt;=$F26),"■","")</x:f>
      </x:c>
      <x:c r="AL26" s="76" t="str">
        <x:f>IF(AND(AL$10&gt;=$E26,AL$10&lt;=$F26),"■","")</x:f>
      </x:c>
      <x:c r="AM26" s="76" t="str">
        <x:f>IF(AND(AM$10&gt;=$E26,AM$10&lt;=$F26),"■","")</x:f>
      </x:c>
      <x:c r="AN26" s="76" t="str">
        <x:f>IF(AND(AN$10&gt;=$E26,AN$10&lt;=$F26),"■","")</x:f>
      </x:c>
    </x:row>
    <x:row r="27" ht="38" customHeight="1">
      <x:c r="A27" s="86" t="n">
        <x:v>17</x:v>
      </x:c>
      <x:c r="B27" s="86" t="str">
        <x:v>秋季口味蛋糕及切块上线</x:v>
      </x:c>
      <x:c r="C27" s="86" t="str">
        <x:v>私域</x:v>
      </x:c>
      <x:c r="D27" s="86" t="str">
        <x:v>秋季上新 1v1 分层触达</x:v>
      </x:c>
      <x:c r="E27" s="87" t="n">
        <x:v>46313</x:v>
      </x:c>
      <x:c r="F27" s="87" t="n">
        <x:v>46317</x:v>
      </x:c>
      <x:c r="G27" s="88" t="n">
        <x:f>F27-E27+1</x:f>
        <x:v>5</x:v>
      </x:c>
      <x:c r="H27" s="86" t="str">
        <x:v>按切块尝新和整蛋糕庆祝场景分层发送</x:v>
      </x:c>
      <x:c r="I27" s="86" t="str"/>
      <x:c r="J27" s="76" t="str">
        <x:f>IF(AND(J$10&gt;=$E27,J$10&lt;=$F27),"■","")</x:f>
      </x:c>
      <x:c r="K27" s="76" t="str">
        <x:f>IF(AND(K$10&gt;=$E27,K$10&lt;=$F27),"■","")</x:f>
      </x:c>
      <x:c r="L27" s="76" t="str">
        <x:f>IF(AND(L$10&gt;=$E27,L$10&lt;=$F27),"■","")</x:f>
      </x:c>
      <x:c r="M27" s="76" t="str">
        <x:f>IF(AND(M$10&gt;=$E27,M$10&lt;=$F27),"■","")</x:f>
      </x:c>
      <x:c r="N27" s="76" t="str">
        <x:f>IF(AND(N$10&gt;=$E27,N$10&lt;=$F27),"■","")</x:f>
      </x:c>
      <x:c r="O27" s="76" t="str">
        <x:f>IF(AND(O$10&gt;=$E27,O$10&lt;=$F27),"■","")</x:f>
      </x:c>
      <x:c r="P27" s="76" t="str">
        <x:f>IF(AND(P$10&gt;=$E27,P$10&lt;=$F27),"■","")</x:f>
      </x:c>
      <x:c r="Q27" s="76" t="str">
        <x:f>IF(AND(Q$10&gt;=$E27,Q$10&lt;=$F27),"■","")</x:f>
      </x:c>
      <x:c r="R27" s="76" t="str">
        <x:f>IF(AND(R$10&gt;=$E27,R$10&lt;=$F27),"■","")</x:f>
      </x:c>
      <x:c r="S27" s="76" t="str">
        <x:f>IF(AND(S$10&gt;=$E27,S$10&lt;=$F27),"■","")</x:f>
      </x:c>
      <x:c r="T27" s="76" t="str">
        <x:f>IF(AND(T$10&gt;=$E27,T$10&lt;=$F27),"■","")</x:f>
      </x:c>
      <x:c r="U27" s="76" t="str">
        <x:f>IF(AND(U$10&gt;=$E27,U$10&lt;=$F27),"■","")</x:f>
      </x:c>
      <x:c r="V27" s="76" t="str">
        <x:f>IF(AND(V$10&gt;=$E27,V$10&lt;=$F27),"■","")</x:f>
      </x:c>
      <x:c r="W27" s="76" t="str">
        <x:f>IF(AND(W$10&gt;=$E27,W$10&lt;=$F27),"■","")</x:f>
      </x:c>
      <x:c r="X27" s="76" t="str">
        <x:f>IF(AND(X$10&gt;=$E27,X$10&lt;=$F27),"■","")</x:f>
      </x:c>
      <x:c r="Y27" s="76" t="str">
        <x:f>IF(AND(Y$10&gt;=$E27,Y$10&lt;=$F27),"■","")</x:f>
      </x:c>
      <x:c r="Z27" s="76" t="str">
        <x:f>IF(AND(Z$10&gt;=$E27,Z$10&lt;=$F27),"■","")</x:f>
      </x:c>
      <x:c r="AA27" s="76" t="str">
        <x:f>IF(AND(AA$10&gt;=$E27,AA$10&lt;=$F27),"■","")</x:f>
        <x:v>■</x:v>
      </x:c>
      <x:c r="AB27" s="76" t="str">
        <x:f>IF(AND(AB$10&gt;=$E27,AB$10&lt;=$F27),"■","")</x:f>
        <x:v>■</x:v>
      </x:c>
      <x:c r="AC27" s="76" t="str">
        <x:f>IF(AND(AC$10&gt;=$E27,AC$10&lt;=$F27),"■","")</x:f>
        <x:v>■</x:v>
      </x:c>
      <x:c r="AD27" s="76" t="str">
        <x:f>IF(AND(AD$10&gt;=$E27,AD$10&lt;=$F27),"■","")</x:f>
        <x:v>■</x:v>
      </x:c>
      <x:c r="AE27" s="76" t="str">
        <x:f>IF(AND(AE$10&gt;=$E27,AE$10&lt;=$F27),"■","")</x:f>
        <x:v>■</x:v>
      </x:c>
      <x:c r="AF27" s="76" t="str">
        <x:f>IF(AND(AF$10&gt;=$E27,AF$10&lt;=$F27),"■","")</x:f>
      </x:c>
      <x:c r="AG27" s="76" t="str">
        <x:f>IF(AND(AG$10&gt;=$E27,AG$10&lt;=$F27),"■","")</x:f>
      </x:c>
      <x:c r="AH27" s="76" t="str">
        <x:f>IF(AND(AH$10&gt;=$E27,AH$10&lt;=$F27),"■","")</x:f>
      </x:c>
      <x:c r="AI27" s="76" t="str">
        <x:f>IF(AND(AI$10&gt;=$E27,AI$10&lt;=$F27),"■","")</x:f>
      </x:c>
      <x:c r="AJ27" s="76" t="str">
        <x:f>IF(AND(AJ$10&gt;=$E27,AJ$10&lt;=$F27),"■","")</x:f>
      </x:c>
      <x:c r="AK27" s="76" t="str">
        <x:f>IF(AND(AK$10&gt;=$E27,AK$10&lt;=$F27),"■","")</x:f>
      </x:c>
      <x:c r="AL27" s="76" t="str">
        <x:f>IF(AND(AL$10&gt;=$E27,AL$10&lt;=$F27),"■","")</x:f>
      </x:c>
      <x:c r="AM27" s="76" t="str">
        <x:f>IF(AND(AM$10&gt;=$E27,AM$10&lt;=$F27),"■","")</x:f>
      </x:c>
      <x:c r="AN27" s="76" t="str">
        <x:f>IF(AND(AN$10&gt;=$E27,AN$10&lt;=$F27),"■","")</x:f>
      </x:c>
    </x:row>
    <x:row r="28" ht="38" customHeight="1">
      <x:c r="A28" s="86" t="n">
        <x:v>18</x:v>
      </x:c>
      <x:c r="B28" s="86" t="str">
        <x:v>秋季口味蛋糕及切块上线</x:v>
      </x:c>
      <x:c r="C28" s="86" t="str">
        <x:v>私域</x:v>
      </x:c>
      <x:c r="D28" s="86" t="str">
        <x:v>邀好友拼团流量品活动</x:v>
      </x:c>
      <x:c r="E28" s="87" t="n">
        <x:v>46318</x:v>
      </x:c>
      <x:c r="F28" s="87" t="n">
        <x:v>46322</x:v>
      </x:c>
      <x:c r="G28" s="88" t="n">
        <x:f>F28-E28+1</x:f>
        <x:v>5</x:v>
      </x:c>
      <x:c r="H28" s="86" t="str">
        <x:v>产品不高于 49.9 元、折扣低于 7 折，新增和核销可追踪</x:v>
      </x:c>
      <x:c r="I28" s="86" t="str"/>
      <x:c r="J28" s="76" t="str">
        <x:f>IF(AND(J$10&gt;=$E28,J$10&lt;=$F28),"■","")</x:f>
      </x:c>
      <x:c r="K28" s="76" t="str">
        <x:f>IF(AND(K$10&gt;=$E28,K$10&lt;=$F28),"■","")</x:f>
      </x:c>
      <x:c r="L28" s="76" t="str">
        <x:f>IF(AND(L$10&gt;=$E28,L$10&lt;=$F28),"■","")</x:f>
      </x:c>
      <x:c r="M28" s="76" t="str">
        <x:f>IF(AND(M$10&gt;=$E28,M$10&lt;=$F28),"■","")</x:f>
      </x:c>
      <x:c r="N28" s="76" t="str">
        <x:f>IF(AND(N$10&gt;=$E28,N$10&lt;=$F28),"■","")</x:f>
      </x:c>
      <x:c r="O28" s="76" t="str">
        <x:f>IF(AND(O$10&gt;=$E28,O$10&lt;=$F28),"■","")</x:f>
      </x:c>
      <x:c r="P28" s="76" t="str">
        <x:f>IF(AND(P$10&gt;=$E28,P$10&lt;=$F28),"■","")</x:f>
      </x:c>
      <x:c r="Q28" s="76" t="str">
        <x:f>IF(AND(Q$10&gt;=$E28,Q$10&lt;=$F28),"■","")</x:f>
      </x:c>
      <x:c r="R28" s="76" t="str">
        <x:f>IF(AND(R$10&gt;=$E28,R$10&lt;=$F28),"■","")</x:f>
      </x:c>
      <x:c r="S28" s="76" t="str">
        <x:f>IF(AND(S$10&gt;=$E28,S$10&lt;=$F28),"■","")</x:f>
      </x:c>
      <x:c r="T28" s="76" t="str">
        <x:f>IF(AND(T$10&gt;=$E28,T$10&lt;=$F28),"■","")</x:f>
      </x:c>
      <x:c r="U28" s="76" t="str">
        <x:f>IF(AND(U$10&gt;=$E28,U$10&lt;=$F28),"■","")</x:f>
      </x:c>
      <x:c r="V28" s="76" t="str">
        <x:f>IF(AND(V$10&gt;=$E28,V$10&lt;=$F28),"■","")</x:f>
      </x:c>
      <x:c r="W28" s="76" t="str">
        <x:f>IF(AND(W$10&gt;=$E28,W$10&lt;=$F28),"■","")</x:f>
      </x:c>
      <x:c r="X28" s="76" t="str">
        <x:f>IF(AND(X$10&gt;=$E28,X$10&lt;=$F28),"■","")</x:f>
      </x:c>
      <x:c r="Y28" s="76" t="str">
        <x:f>IF(AND(Y$10&gt;=$E28,Y$10&lt;=$F28),"■","")</x:f>
      </x:c>
      <x:c r="Z28" s="76" t="str">
        <x:f>IF(AND(Z$10&gt;=$E28,Z$10&lt;=$F28),"■","")</x:f>
      </x:c>
      <x:c r="AA28" s="76" t="str">
        <x:f>IF(AND(AA$10&gt;=$E28,AA$10&lt;=$F28),"■","")</x:f>
      </x:c>
      <x:c r="AB28" s="76" t="str">
        <x:f>IF(AND(AB$10&gt;=$E28,AB$10&lt;=$F28),"■","")</x:f>
      </x:c>
      <x:c r="AC28" s="76" t="str">
        <x:f>IF(AND(AC$10&gt;=$E28,AC$10&lt;=$F28),"■","")</x:f>
      </x:c>
      <x:c r="AD28" s="76" t="str">
        <x:f>IF(AND(AD$10&gt;=$E28,AD$10&lt;=$F28),"■","")</x:f>
      </x:c>
      <x:c r="AE28" s="76" t="str">
        <x:f>IF(AND(AE$10&gt;=$E28,AE$10&lt;=$F28),"■","")</x:f>
      </x:c>
      <x:c r="AF28" s="76" t="str">
        <x:f>IF(AND(AF$10&gt;=$E28,AF$10&lt;=$F28),"■","")</x:f>
        <x:v>■</x:v>
      </x:c>
      <x:c r="AG28" s="76" t="str">
        <x:f>IF(AND(AG$10&gt;=$E28,AG$10&lt;=$F28),"■","")</x:f>
        <x:v>■</x:v>
      </x:c>
      <x:c r="AH28" s="76" t="str">
        <x:f>IF(AND(AH$10&gt;=$E28,AH$10&lt;=$F28),"■","")</x:f>
        <x:v>■</x:v>
      </x:c>
      <x:c r="AI28" s="76" t="str">
        <x:f>IF(AND(AI$10&gt;=$E28,AI$10&lt;=$F28),"■","")</x:f>
        <x:v>■</x:v>
      </x:c>
      <x:c r="AJ28" s="76" t="str">
        <x:f>IF(AND(AJ$10&gt;=$E28,AJ$10&lt;=$F28),"■","")</x:f>
        <x:v>■</x:v>
      </x:c>
      <x:c r="AK28" s="76" t="str">
        <x:f>IF(AND(AK$10&gt;=$E28,AK$10&lt;=$F28),"■","")</x:f>
      </x:c>
      <x:c r="AL28" s="76" t="str">
        <x:f>IF(AND(AL$10&gt;=$E28,AL$10&lt;=$F28),"■","")</x:f>
      </x:c>
      <x:c r="AM28" s="76" t="str">
        <x:f>IF(AND(AM$10&gt;=$E28,AM$10&lt;=$F28),"■","")</x:f>
      </x:c>
      <x:c r="AN28" s="76" t="str">
        <x:f>IF(AND(AN$10&gt;=$E28,AN$10&lt;=$F28),"■","")</x:f>
      </x:c>
    </x:row>
    <x:row r="29" ht="38" customHeight="1">
      <x:c r="A29" s="86" t="n">
        <x:v>19</x:v>
      </x:c>
      <x:c r="B29" s="86" t="str">
        <x:v>秋季口味蛋糕及切块上线</x:v>
      </x:c>
      <x:c r="C29" s="86" t="str">
        <x:v>私域</x:v>
      </x:c>
      <x:c r="D29" s="86" t="str">
        <x:v>裂变新增用户首购承接与结果复盘</x:v>
      </x:c>
      <x:c r="E29" s="87" t="n">
        <x:v>46318</x:v>
      </x:c>
      <x:c r="F29" s="87" t="n">
        <x:v>46325</x:v>
      </x:c>
      <x:c r="G29" s="88" t="n">
        <x:f>F29-E29+1</x:f>
        <x:v>8</x:v>
      </x:c>
      <x:c r="H29" s="86" t="str">
        <x:v>24 小时内 1v1 承接，新增、首购和收入可回收</x:v>
      </x:c>
      <x:c r="I29" s="86" t="str"/>
      <x:c r="J29" s="76" t="str">
        <x:f>IF(AND(J$10&gt;=$E29,J$10&lt;=$F29),"■","")</x:f>
      </x:c>
      <x:c r="K29" s="76" t="str">
        <x:f>IF(AND(K$10&gt;=$E29,K$10&lt;=$F29),"■","")</x:f>
      </x:c>
      <x:c r="L29" s="76" t="str">
        <x:f>IF(AND(L$10&gt;=$E29,L$10&lt;=$F29),"■","")</x:f>
      </x:c>
      <x:c r="M29" s="76" t="str">
        <x:f>IF(AND(M$10&gt;=$E29,M$10&lt;=$F29),"■","")</x:f>
      </x:c>
      <x:c r="N29" s="76" t="str">
        <x:f>IF(AND(N$10&gt;=$E29,N$10&lt;=$F29),"■","")</x:f>
      </x:c>
      <x:c r="O29" s="76" t="str">
        <x:f>IF(AND(O$10&gt;=$E29,O$10&lt;=$F29),"■","")</x:f>
      </x:c>
      <x:c r="P29" s="76" t="str">
        <x:f>IF(AND(P$10&gt;=$E29,P$10&lt;=$F29),"■","")</x:f>
      </x:c>
      <x:c r="Q29" s="76" t="str">
        <x:f>IF(AND(Q$10&gt;=$E29,Q$10&lt;=$F29),"■","")</x:f>
      </x:c>
      <x:c r="R29" s="76" t="str">
        <x:f>IF(AND(R$10&gt;=$E29,R$10&lt;=$F29),"■","")</x:f>
      </x:c>
      <x:c r="S29" s="76" t="str">
        <x:f>IF(AND(S$10&gt;=$E29,S$10&lt;=$F29),"■","")</x:f>
      </x:c>
      <x:c r="T29" s="76" t="str">
        <x:f>IF(AND(T$10&gt;=$E29,T$10&lt;=$F29),"■","")</x:f>
      </x:c>
      <x:c r="U29" s="76" t="str">
        <x:f>IF(AND(U$10&gt;=$E29,U$10&lt;=$F29),"■","")</x:f>
      </x:c>
      <x:c r="V29" s="76" t="str">
        <x:f>IF(AND(V$10&gt;=$E29,V$10&lt;=$F29),"■","")</x:f>
      </x:c>
      <x:c r="W29" s="76" t="str">
        <x:f>IF(AND(W$10&gt;=$E29,W$10&lt;=$F29),"■","")</x:f>
      </x:c>
      <x:c r="X29" s="76" t="str">
        <x:f>IF(AND(X$10&gt;=$E29,X$10&lt;=$F29),"■","")</x:f>
      </x:c>
      <x:c r="Y29" s="76" t="str">
        <x:f>IF(AND(Y$10&gt;=$E29,Y$10&lt;=$F29),"■","")</x:f>
      </x:c>
      <x:c r="Z29" s="76" t="str">
        <x:f>IF(AND(Z$10&gt;=$E29,Z$10&lt;=$F29),"■","")</x:f>
      </x:c>
      <x:c r="AA29" s="76" t="str">
        <x:f>IF(AND(AA$10&gt;=$E29,AA$10&lt;=$F29),"■","")</x:f>
      </x:c>
      <x:c r="AB29" s="76" t="str">
        <x:f>IF(AND(AB$10&gt;=$E29,AB$10&lt;=$F29),"■","")</x:f>
      </x:c>
      <x:c r="AC29" s="76" t="str">
        <x:f>IF(AND(AC$10&gt;=$E29,AC$10&lt;=$F29),"■","")</x:f>
      </x:c>
      <x:c r="AD29" s="76" t="str">
        <x:f>IF(AND(AD$10&gt;=$E29,AD$10&lt;=$F29),"■","")</x:f>
      </x:c>
      <x:c r="AE29" s="76" t="str">
        <x:f>IF(AND(AE$10&gt;=$E29,AE$10&lt;=$F29),"■","")</x:f>
      </x:c>
      <x:c r="AF29" s="76" t="str">
        <x:f>IF(AND(AF$10&gt;=$E29,AF$10&lt;=$F29),"■","")</x:f>
        <x:v>■</x:v>
      </x:c>
      <x:c r="AG29" s="76" t="str">
        <x:f>IF(AND(AG$10&gt;=$E29,AG$10&lt;=$F29),"■","")</x:f>
        <x:v>■</x:v>
      </x:c>
      <x:c r="AH29" s="76" t="str">
        <x:f>IF(AND(AH$10&gt;=$E29,AH$10&lt;=$F29),"■","")</x:f>
        <x:v>■</x:v>
      </x:c>
      <x:c r="AI29" s="76" t="str">
        <x:f>IF(AND(AI$10&gt;=$E29,AI$10&lt;=$F29),"■","")</x:f>
        <x:v>■</x:v>
      </x:c>
      <x:c r="AJ29" s="76" t="str">
        <x:f>IF(AND(AJ$10&gt;=$E29,AJ$10&lt;=$F29),"■","")</x:f>
        <x:v>■</x:v>
      </x:c>
      <x:c r="AK29" s="76" t="str">
        <x:f>IF(AND(AK$10&gt;=$E29,AK$10&lt;=$F29),"■","")</x:f>
        <x:v>■</x:v>
      </x:c>
      <x:c r="AL29" s="76" t="str">
        <x:f>IF(AND(AL$10&gt;=$E29,AL$10&lt;=$F29),"■","")</x:f>
        <x:v>■</x:v>
      </x:c>
      <x:c r="AM29" s="76" t="str">
        <x:f>IF(AND(AM$10&gt;=$E29,AM$10&lt;=$F29),"■","")</x:f>
        <x:v>■</x:v>
      </x:c>
      <x:c r="AN29" s="76" t="str">
        <x:f>IF(AND(AN$10&gt;=$E29,AN$10&lt;=$F29),"■","")</x:f>
      </x:c>
    </x:row>
    <x:row r="30" ht="38" customHeight="1">
      <x:c r="A30" s="86" t="n">
        <x:v>20</x:v>
      </x:c>
      <x:c r="B30" s="86" t="str">
        <x:v>月度基础经营</x:v>
      </x:c>
      <x:c r="C30" s="86" t="str">
        <x:v>抖音</x:v>
      </x:c>
      <x:c r="D30" s="86" t="str">
        <x:v>每周平播</x:v>
      </x:c>
      <x:c r="E30" s="87" t="n">
        <x:v>46303</x:v>
      </x:c>
      <x:c r="F30" s="87" t="n">
        <x:v>46326</x:v>
      </x:c>
      <x:c r="G30" s="88" t="n">
        <x:f>F30-E30+1</x:f>
        <x:v>24</x:v>
      </x:c>
      <x:c r="H30" s="86" t="str">
        <x:v>每周 1 场、每场 1-2 小时，记录观看、成交和核销</x:v>
      </x:c>
      <x:c r="I30" s="86" t="str"/>
      <x:c r="J30" s="76" t="str">
        <x:f>IF(AND(J$10&gt;=$E30,J$10&lt;=$F30),"■","")</x:f>
      </x:c>
      <x:c r="K30" s="76" t="str">
        <x:f>IF(AND(K$10&gt;=$E30,K$10&lt;=$F30),"■","")</x:f>
      </x:c>
      <x:c r="L30" s="76" t="str">
        <x:f>IF(AND(L$10&gt;=$E30,L$10&lt;=$F30),"■","")</x:f>
      </x:c>
      <x:c r="M30" s="76" t="str">
        <x:f>IF(AND(M$10&gt;=$E30,M$10&lt;=$F30),"■","")</x:f>
      </x:c>
      <x:c r="N30" s="76" t="str">
        <x:f>IF(AND(N$10&gt;=$E30,N$10&lt;=$F30),"■","")</x:f>
      </x:c>
      <x:c r="O30" s="76" t="str">
        <x:f>IF(AND(O$10&gt;=$E30,O$10&lt;=$F30),"■","")</x:f>
      </x:c>
      <x:c r="P30" s="76" t="str">
        <x:f>IF(AND(P$10&gt;=$E30,P$10&lt;=$F30),"■","")</x:f>
      </x:c>
      <x:c r="Q30" s="76" t="str">
        <x:f>IF(AND(Q$10&gt;=$E30,Q$10&lt;=$F30),"■","")</x:f>
        <x:v>■</x:v>
      </x:c>
      <x:c r="R30" s="76" t="str">
        <x:f>IF(AND(R$10&gt;=$E30,R$10&lt;=$F30),"■","")</x:f>
        <x:v>■</x:v>
      </x:c>
      <x:c r="S30" s="76" t="str">
        <x:f>IF(AND(S$10&gt;=$E30,S$10&lt;=$F30),"■","")</x:f>
        <x:v>■</x:v>
      </x:c>
      <x:c r="T30" s="76" t="str">
        <x:f>IF(AND(T$10&gt;=$E30,T$10&lt;=$F30),"■","")</x:f>
        <x:v>■</x:v>
      </x:c>
      <x:c r="U30" s="76" t="str">
        <x:f>IF(AND(U$10&gt;=$E30,U$10&lt;=$F30),"■","")</x:f>
        <x:v>■</x:v>
      </x:c>
      <x:c r="V30" s="76" t="str">
        <x:f>IF(AND(V$10&gt;=$E30,V$10&lt;=$F30),"■","")</x:f>
        <x:v>■</x:v>
      </x:c>
      <x:c r="W30" s="76" t="str">
        <x:f>IF(AND(W$10&gt;=$E30,W$10&lt;=$F30),"■","")</x:f>
        <x:v>■</x:v>
      </x:c>
      <x:c r="X30" s="76" t="str">
        <x:f>IF(AND(X$10&gt;=$E30,X$10&lt;=$F30),"■","")</x:f>
        <x:v>■</x:v>
      </x:c>
      <x:c r="Y30" s="76" t="str">
        <x:f>IF(AND(Y$10&gt;=$E30,Y$10&lt;=$F30),"■","")</x:f>
        <x:v>■</x:v>
      </x:c>
      <x:c r="Z30" s="76" t="str">
        <x:f>IF(AND(Z$10&gt;=$E30,Z$10&lt;=$F30),"■","")</x:f>
        <x:v>■</x:v>
      </x:c>
      <x:c r="AA30" s="76" t="str">
        <x:f>IF(AND(AA$10&gt;=$E30,AA$10&lt;=$F30),"■","")</x:f>
        <x:v>■</x:v>
      </x:c>
      <x:c r="AB30" s="76" t="str">
        <x:f>IF(AND(AB$10&gt;=$E30,AB$10&lt;=$F30),"■","")</x:f>
        <x:v>■</x:v>
      </x:c>
      <x:c r="AC30" s="76" t="str">
        <x:f>IF(AND(AC$10&gt;=$E30,AC$10&lt;=$F30),"■","")</x:f>
        <x:v>■</x:v>
      </x:c>
      <x:c r="AD30" s="76" t="str">
        <x:f>IF(AND(AD$10&gt;=$E30,AD$10&lt;=$F30),"■","")</x:f>
        <x:v>■</x:v>
      </x:c>
      <x:c r="AE30" s="76" t="str">
        <x:f>IF(AND(AE$10&gt;=$E30,AE$10&lt;=$F30),"■","")</x:f>
        <x:v>■</x:v>
      </x:c>
      <x:c r="AF30" s="76" t="str">
        <x:f>IF(AND(AF$10&gt;=$E30,AF$10&lt;=$F30),"■","")</x:f>
        <x:v>■</x:v>
      </x:c>
      <x:c r="AG30" s="76" t="str">
        <x:f>IF(AND(AG$10&gt;=$E30,AG$10&lt;=$F30),"■","")</x:f>
        <x:v>■</x:v>
      </x:c>
      <x:c r="AH30" s="76" t="str">
        <x:f>IF(AND(AH$10&gt;=$E30,AH$10&lt;=$F30),"■","")</x:f>
        <x:v>■</x:v>
      </x:c>
      <x:c r="AI30" s="76" t="str">
        <x:f>IF(AND(AI$10&gt;=$E30,AI$10&lt;=$F30),"■","")</x:f>
        <x:v>■</x:v>
      </x:c>
      <x:c r="AJ30" s="76" t="str">
        <x:f>IF(AND(AJ$10&gt;=$E30,AJ$10&lt;=$F30),"■","")</x:f>
        <x:v>■</x:v>
      </x:c>
      <x:c r="AK30" s="76" t="str">
        <x:f>IF(AND(AK$10&gt;=$E30,AK$10&lt;=$F30),"■","")</x:f>
        <x:v>■</x:v>
      </x:c>
      <x:c r="AL30" s="76" t="str">
        <x:f>IF(AND(AL$10&gt;=$E30,AL$10&lt;=$F30),"■","")</x:f>
        <x:v>■</x:v>
      </x:c>
      <x:c r="AM30" s="76" t="str">
        <x:f>IF(AND(AM$10&gt;=$E30,AM$10&lt;=$F30),"■","")</x:f>
        <x:v>■</x:v>
      </x:c>
      <x:c r="AN30" s="76" t="str">
        <x:f>IF(AND(AN$10&gt;=$E30,AN$10&lt;=$F30),"■","")</x:f>
        <x:v>■</x:v>
      </x:c>
    </x:row>
    <x:row r="31" ht="38" customHeight="1">
      <x:c r="A31" s="86" t="n">
        <x:v>21</x:v>
      </x:c>
      <x:c r="B31" s="86" t="str">
        <x:v>秋季口味蛋糕及切块上线</x:v>
      </x:c>
      <x:c r="C31" s="86" t="str">
        <x:v>抖音</x:v>
      </x:c>
      <x:c r="D31" s="86" t="str">
        <x:v>49.9 元以下秋季流量品团购上线</x:v>
      </x:c>
      <x:c r="E31" s="87" t="n">
        <x:v>46313</x:v>
      </x:c>
      <x:c r="F31" s="87" t="n">
        <x:v>46326</x:v>
      </x:c>
      <x:c r="G31" s="88" t="n">
        <x:f>F31-E31+1</x:f>
        <x:v>14</x:v>
      </x:c>
      <x:c r="H31" s="86" t="str">
        <x:v>售价、毛利、售出、核销和加企微数据完整</x:v>
      </x:c>
      <x:c r="I31" s="86" t="str"/>
      <x:c r="J31" s="76" t="str">
        <x:f>IF(AND(J$10&gt;=$E31,J$10&lt;=$F31),"■","")</x:f>
      </x:c>
      <x:c r="K31" s="76" t="str">
        <x:f>IF(AND(K$10&gt;=$E31,K$10&lt;=$F31),"■","")</x:f>
      </x:c>
      <x:c r="L31" s="76" t="str">
        <x:f>IF(AND(L$10&gt;=$E31,L$10&lt;=$F31),"■","")</x:f>
      </x:c>
      <x:c r="M31" s="76" t="str">
        <x:f>IF(AND(M$10&gt;=$E31,M$10&lt;=$F31),"■","")</x:f>
      </x:c>
      <x:c r="N31" s="76" t="str">
        <x:f>IF(AND(N$10&gt;=$E31,N$10&lt;=$F31),"■","")</x:f>
      </x:c>
      <x:c r="O31" s="76" t="str">
        <x:f>IF(AND(O$10&gt;=$E31,O$10&lt;=$F31),"■","")</x:f>
      </x:c>
      <x:c r="P31" s="76" t="str">
        <x:f>IF(AND(P$10&gt;=$E31,P$10&lt;=$F31),"■","")</x:f>
      </x:c>
      <x:c r="Q31" s="76" t="str">
        <x:f>IF(AND(Q$10&gt;=$E31,Q$10&lt;=$F31),"■","")</x:f>
      </x:c>
      <x:c r="R31" s="76" t="str">
        <x:f>IF(AND(R$10&gt;=$E31,R$10&lt;=$F31),"■","")</x:f>
      </x:c>
      <x:c r="S31" s="76" t="str">
        <x:f>IF(AND(S$10&gt;=$E31,S$10&lt;=$F31),"■","")</x:f>
      </x:c>
      <x:c r="T31" s="76" t="str">
        <x:f>IF(AND(T$10&gt;=$E31,T$10&lt;=$F31),"■","")</x:f>
      </x:c>
      <x:c r="U31" s="76" t="str">
        <x:f>IF(AND(U$10&gt;=$E31,U$10&lt;=$F31),"■","")</x:f>
      </x:c>
      <x:c r="V31" s="76" t="str">
        <x:f>IF(AND(V$10&gt;=$E31,V$10&lt;=$F31),"■","")</x:f>
      </x:c>
      <x:c r="W31" s="76" t="str">
        <x:f>IF(AND(W$10&gt;=$E31,W$10&lt;=$F31),"■","")</x:f>
      </x:c>
      <x:c r="X31" s="76" t="str">
        <x:f>IF(AND(X$10&gt;=$E31,X$10&lt;=$F31),"■","")</x:f>
      </x:c>
      <x:c r="Y31" s="76" t="str">
        <x:f>IF(AND(Y$10&gt;=$E31,Y$10&lt;=$F31),"■","")</x:f>
      </x:c>
      <x:c r="Z31" s="76" t="str">
        <x:f>IF(AND(Z$10&gt;=$E31,Z$10&lt;=$F31),"■","")</x:f>
      </x:c>
      <x:c r="AA31" s="76" t="str">
        <x:f>IF(AND(AA$10&gt;=$E31,AA$10&lt;=$F31),"■","")</x:f>
        <x:v>■</x:v>
      </x:c>
      <x:c r="AB31" s="76" t="str">
        <x:f>IF(AND(AB$10&gt;=$E31,AB$10&lt;=$F31),"■","")</x:f>
        <x:v>■</x:v>
      </x:c>
      <x:c r="AC31" s="76" t="str">
        <x:f>IF(AND(AC$10&gt;=$E31,AC$10&lt;=$F31),"■","")</x:f>
        <x:v>■</x:v>
      </x:c>
      <x:c r="AD31" s="76" t="str">
        <x:f>IF(AND(AD$10&gt;=$E31,AD$10&lt;=$F31),"■","")</x:f>
        <x:v>■</x:v>
      </x:c>
      <x:c r="AE31" s="76" t="str">
        <x:f>IF(AND(AE$10&gt;=$E31,AE$10&lt;=$F31),"■","")</x:f>
        <x:v>■</x:v>
      </x:c>
      <x:c r="AF31" s="76" t="str">
        <x:f>IF(AND(AF$10&gt;=$E31,AF$10&lt;=$F31),"■","")</x:f>
        <x:v>■</x:v>
      </x:c>
      <x:c r="AG31" s="76" t="str">
        <x:f>IF(AND(AG$10&gt;=$E31,AG$10&lt;=$F31),"■","")</x:f>
        <x:v>■</x:v>
      </x:c>
      <x:c r="AH31" s="76" t="str">
        <x:f>IF(AND(AH$10&gt;=$E31,AH$10&lt;=$F31),"■","")</x:f>
        <x:v>■</x:v>
      </x:c>
      <x:c r="AI31" s="76" t="str">
        <x:f>IF(AND(AI$10&gt;=$E31,AI$10&lt;=$F31),"■","")</x:f>
        <x:v>■</x:v>
      </x:c>
      <x:c r="AJ31" s="76" t="str">
        <x:f>IF(AND(AJ$10&gt;=$E31,AJ$10&lt;=$F31),"■","")</x:f>
        <x:v>■</x:v>
      </x:c>
      <x:c r="AK31" s="76" t="str">
        <x:f>IF(AND(AK$10&gt;=$E31,AK$10&lt;=$F31),"■","")</x:f>
        <x:v>■</x:v>
      </x:c>
      <x:c r="AL31" s="76" t="str">
        <x:f>IF(AND(AL$10&gt;=$E31,AL$10&lt;=$F31),"■","")</x:f>
        <x:v>■</x:v>
      </x:c>
      <x:c r="AM31" s="76" t="str">
        <x:f>IF(AND(AM$10&gt;=$E31,AM$10&lt;=$F31),"■","")</x:f>
        <x:v>■</x:v>
      </x:c>
      <x:c r="AN31" s="76" t="str">
        <x:f>IF(AND(AN$10&gt;=$E31,AN$10&lt;=$F31),"■","")</x:f>
        <x:v>■</x:v>
      </x:c>
    </x:row>
    <x:row r="32" ht="38" customHeight="1">
      <x:c r="A32" s="86" t="n">
        <x:v>22</x:v>
      </x:c>
      <x:c r="B32" s="86" t="str">
        <x:v>秋季口味蛋糕及切块上线</x:v>
      </x:c>
      <x:c r="C32" s="86" t="str">
        <x:v>抖音</x:v>
      </x:c>
      <x:c r="D32" s="86" t="str">
        <x:v>外部付费达人探店带流量品</x:v>
      </x:c>
      <x:c r="E32" s="87" t="n">
        <x:v>46315</x:v>
      </x:c>
      <x:c r="F32" s="87" t="n">
        <x:v>46323</x:v>
      </x:c>
      <x:c r="G32" s="88" t="n">
        <x:f>F32-E32+1</x:f>
        <x:v>9</x:v>
      </x:c>
      <x:c r="H32" s="86" t="str">
        <x:v>3-5 人，只带低价流量品，不带正价整蛋糕</x:v>
      </x:c>
      <x:c r="I32" s="86" t="str"/>
      <x:c r="J32" s="76" t="str">
        <x:f>IF(AND(J$10&gt;=$E32,J$10&lt;=$F32),"■","")</x:f>
      </x:c>
      <x:c r="K32" s="76" t="str">
        <x:f>IF(AND(K$10&gt;=$E32,K$10&lt;=$F32),"■","")</x:f>
      </x:c>
      <x:c r="L32" s="76" t="str">
        <x:f>IF(AND(L$10&gt;=$E32,L$10&lt;=$F32),"■","")</x:f>
      </x:c>
      <x:c r="M32" s="76" t="str">
        <x:f>IF(AND(M$10&gt;=$E32,M$10&lt;=$F32),"■","")</x:f>
      </x:c>
      <x:c r="N32" s="76" t="str">
        <x:f>IF(AND(N$10&gt;=$E32,N$10&lt;=$F32),"■","")</x:f>
      </x:c>
      <x:c r="O32" s="76" t="str">
        <x:f>IF(AND(O$10&gt;=$E32,O$10&lt;=$F32),"■","")</x:f>
      </x:c>
      <x:c r="P32" s="76" t="str">
        <x:f>IF(AND(P$10&gt;=$E32,P$10&lt;=$F32),"■","")</x:f>
      </x:c>
      <x:c r="Q32" s="76" t="str">
        <x:f>IF(AND(Q$10&gt;=$E32,Q$10&lt;=$F32),"■","")</x:f>
      </x:c>
      <x:c r="R32" s="76" t="str">
        <x:f>IF(AND(R$10&gt;=$E32,R$10&lt;=$F32),"■","")</x:f>
      </x:c>
      <x:c r="S32" s="76" t="str">
        <x:f>IF(AND(S$10&gt;=$E32,S$10&lt;=$F32),"■","")</x:f>
      </x:c>
      <x:c r="T32" s="76" t="str">
        <x:f>IF(AND(T$10&gt;=$E32,T$10&lt;=$F32),"■","")</x:f>
      </x:c>
      <x:c r="U32" s="76" t="str">
        <x:f>IF(AND(U$10&gt;=$E32,U$10&lt;=$F32),"■","")</x:f>
      </x:c>
      <x:c r="V32" s="76" t="str">
        <x:f>IF(AND(V$10&gt;=$E32,V$10&lt;=$F32),"■","")</x:f>
      </x:c>
      <x:c r="W32" s="76" t="str">
        <x:f>IF(AND(W$10&gt;=$E32,W$10&lt;=$F32),"■","")</x:f>
      </x:c>
      <x:c r="X32" s="76" t="str">
        <x:f>IF(AND(X$10&gt;=$E32,X$10&lt;=$F32),"■","")</x:f>
      </x:c>
      <x:c r="Y32" s="76" t="str">
        <x:f>IF(AND(Y$10&gt;=$E32,Y$10&lt;=$F32),"■","")</x:f>
      </x:c>
      <x:c r="Z32" s="76" t="str">
        <x:f>IF(AND(Z$10&gt;=$E32,Z$10&lt;=$F32),"■","")</x:f>
      </x:c>
      <x:c r="AA32" s="76" t="str">
        <x:f>IF(AND(AA$10&gt;=$E32,AA$10&lt;=$F32),"■","")</x:f>
      </x:c>
      <x:c r="AB32" s="76" t="str">
        <x:f>IF(AND(AB$10&gt;=$E32,AB$10&lt;=$F32),"■","")</x:f>
      </x:c>
      <x:c r="AC32" s="76" t="str">
        <x:f>IF(AND(AC$10&gt;=$E32,AC$10&lt;=$F32),"■","")</x:f>
        <x:v>■</x:v>
      </x:c>
      <x:c r="AD32" s="76" t="str">
        <x:f>IF(AND(AD$10&gt;=$E32,AD$10&lt;=$F32),"■","")</x:f>
        <x:v>■</x:v>
      </x:c>
      <x:c r="AE32" s="76" t="str">
        <x:f>IF(AND(AE$10&gt;=$E32,AE$10&lt;=$F32),"■","")</x:f>
        <x:v>■</x:v>
      </x:c>
      <x:c r="AF32" s="76" t="str">
        <x:f>IF(AND(AF$10&gt;=$E32,AF$10&lt;=$F32),"■","")</x:f>
        <x:v>■</x:v>
      </x:c>
      <x:c r="AG32" s="76" t="str">
        <x:f>IF(AND(AG$10&gt;=$E32,AG$10&lt;=$F32),"■","")</x:f>
        <x:v>■</x:v>
      </x:c>
      <x:c r="AH32" s="76" t="str">
        <x:f>IF(AND(AH$10&gt;=$E32,AH$10&lt;=$F32),"■","")</x:f>
        <x:v>■</x:v>
      </x:c>
      <x:c r="AI32" s="76" t="str">
        <x:f>IF(AND(AI$10&gt;=$E32,AI$10&lt;=$F32),"■","")</x:f>
        <x:v>■</x:v>
      </x:c>
      <x:c r="AJ32" s="76" t="str">
        <x:f>IF(AND(AJ$10&gt;=$E32,AJ$10&lt;=$F32),"■","")</x:f>
        <x:v>■</x:v>
      </x:c>
      <x:c r="AK32" s="76" t="str">
        <x:f>IF(AND(AK$10&gt;=$E32,AK$10&lt;=$F32),"■","")</x:f>
        <x:v>■</x:v>
      </x:c>
      <x:c r="AL32" s="76" t="str">
        <x:f>IF(AND(AL$10&gt;=$E32,AL$10&lt;=$F32),"■","")</x:f>
      </x:c>
      <x:c r="AM32" s="76" t="str">
        <x:f>IF(AND(AM$10&gt;=$E32,AM$10&lt;=$F32),"■","")</x:f>
      </x:c>
      <x:c r="AN32" s="76" t="str">
        <x:f>IF(AND(AN$10&gt;=$E32,AN$10&lt;=$F32),"■","")</x:f>
      </x:c>
    </x:row>
    <x:row r="33" ht="38" customHeight="1">
      <x:c r="A33" s="86" t="n">
        <x:v>23</x:v>
      </x:c>
      <x:c r="B33" s="86" t="str">
        <x:v>秋季口味蛋糕及切块上线</x:v>
      </x:c>
      <x:c r="C33" s="86" t="str">
        <x:v>抖音</x:v>
      </x:c>
      <x:c r="D33" s="86" t="str">
        <x:v>本地推常规投放</x:v>
      </x:c>
      <x:c r="E33" s="87" t="n">
        <x:v>46313</x:v>
      </x:c>
      <x:c r="F33" s="87" t="n">
        <x:v>46325</x:v>
      </x:c>
      <x:c r="G33" s="88" t="n">
        <x:f>F33-E33+1</x:f>
        <x:v>13</x:v>
      </x:c>
      <x:c r="H33" s="86" t="str">
        <x:v>按流量品成交和核销优化，不做节点加码</x:v>
      </x:c>
      <x:c r="I33" s="86" t="str"/>
      <x:c r="J33" s="76" t="str">
        <x:f>IF(AND(J$10&gt;=$E33,J$10&lt;=$F33),"■","")</x:f>
      </x:c>
      <x:c r="K33" s="76" t="str">
        <x:f>IF(AND(K$10&gt;=$E33,K$10&lt;=$F33),"■","")</x:f>
      </x:c>
      <x:c r="L33" s="76" t="str">
        <x:f>IF(AND(L$10&gt;=$E33,L$10&lt;=$F33),"■","")</x:f>
      </x:c>
      <x:c r="M33" s="76" t="str">
        <x:f>IF(AND(M$10&gt;=$E33,M$10&lt;=$F33),"■","")</x:f>
      </x:c>
      <x:c r="N33" s="76" t="str">
        <x:f>IF(AND(N$10&gt;=$E33,N$10&lt;=$F33),"■","")</x:f>
      </x:c>
      <x:c r="O33" s="76" t="str">
        <x:f>IF(AND(O$10&gt;=$E33,O$10&lt;=$F33),"■","")</x:f>
      </x:c>
      <x:c r="P33" s="76" t="str">
        <x:f>IF(AND(P$10&gt;=$E33,P$10&lt;=$F33),"■","")</x:f>
      </x:c>
      <x:c r="Q33" s="76" t="str">
        <x:f>IF(AND(Q$10&gt;=$E33,Q$10&lt;=$F33),"■","")</x:f>
      </x:c>
      <x:c r="R33" s="76" t="str">
        <x:f>IF(AND(R$10&gt;=$E33,R$10&lt;=$F33),"■","")</x:f>
      </x:c>
      <x:c r="S33" s="76" t="str">
        <x:f>IF(AND(S$10&gt;=$E33,S$10&lt;=$F33),"■","")</x:f>
      </x:c>
      <x:c r="T33" s="76" t="str">
        <x:f>IF(AND(T$10&gt;=$E33,T$10&lt;=$F33),"■","")</x:f>
      </x:c>
      <x:c r="U33" s="76" t="str">
        <x:f>IF(AND(U$10&gt;=$E33,U$10&lt;=$F33),"■","")</x:f>
      </x:c>
      <x:c r="V33" s="76" t="str">
        <x:f>IF(AND(V$10&gt;=$E33,V$10&lt;=$F33),"■","")</x:f>
      </x:c>
      <x:c r="W33" s="76" t="str">
        <x:f>IF(AND(W$10&gt;=$E33,W$10&lt;=$F33),"■","")</x:f>
      </x:c>
      <x:c r="X33" s="76" t="str">
        <x:f>IF(AND(X$10&gt;=$E33,X$10&lt;=$F33),"■","")</x:f>
      </x:c>
      <x:c r="Y33" s="76" t="str">
        <x:f>IF(AND(Y$10&gt;=$E33,Y$10&lt;=$F33),"■","")</x:f>
      </x:c>
      <x:c r="Z33" s="76" t="str">
        <x:f>IF(AND(Z$10&gt;=$E33,Z$10&lt;=$F33),"■","")</x:f>
      </x:c>
      <x:c r="AA33" s="76" t="str">
        <x:f>IF(AND(AA$10&gt;=$E33,AA$10&lt;=$F33),"■","")</x:f>
        <x:v>■</x:v>
      </x:c>
      <x:c r="AB33" s="76" t="str">
        <x:f>IF(AND(AB$10&gt;=$E33,AB$10&lt;=$F33),"■","")</x:f>
        <x:v>■</x:v>
      </x:c>
      <x:c r="AC33" s="76" t="str">
        <x:f>IF(AND(AC$10&gt;=$E33,AC$10&lt;=$F33),"■","")</x:f>
        <x:v>■</x:v>
      </x:c>
      <x:c r="AD33" s="76" t="str">
        <x:f>IF(AND(AD$10&gt;=$E33,AD$10&lt;=$F33),"■","")</x:f>
        <x:v>■</x:v>
      </x:c>
      <x:c r="AE33" s="76" t="str">
        <x:f>IF(AND(AE$10&gt;=$E33,AE$10&lt;=$F33),"■","")</x:f>
        <x:v>■</x:v>
      </x:c>
      <x:c r="AF33" s="76" t="str">
        <x:f>IF(AND(AF$10&gt;=$E33,AF$10&lt;=$F33),"■","")</x:f>
        <x:v>■</x:v>
      </x:c>
      <x:c r="AG33" s="76" t="str">
        <x:f>IF(AND(AG$10&gt;=$E33,AG$10&lt;=$F33),"■","")</x:f>
        <x:v>■</x:v>
      </x:c>
      <x:c r="AH33" s="76" t="str">
        <x:f>IF(AND(AH$10&gt;=$E33,AH$10&lt;=$F33),"■","")</x:f>
        <x:v>■</x:v>
      </x:c>
      <x:c r="AI33" s="76" t="str">
        <x:f>IF(AND(AI$10&gt;=$E33,AI$10&lt;=$F33),"■","")</x:f>
        <x:v>■</x:v>
      </x:c>
      <x:c r="AJ33" s="76" t="str">
        <x:f>IF(AND(AJ$10&gt;=$E33,AJ$10&lt;=$F33),"■","")</x:f>
        <x:v>■</x:v>
      </x:c>
      <x:c r="AK33" s="76" t="str">
        <x:f>IF(AND(AK$10&gt;=$E33,AK$10&lt;=$F33),"■","")</x:f>
        <x:v>■</x:v>
      </x:c>
      <x:c r="AL33" s="76" t="str">
        <x:f>IF(AND(AL$10&gt;=$E33,AL$10&lt;=$F33),"■","")</x:f>
        <x:v>■</x:v>
      </x:c>
      <x:c r="AM33" s="76" t="str">
        <x:f>IF(AND(AM$10&gt;=$E33,AM$10&lt;=$F33),"■","")</x:f>
        <x:v>■</x:v>
      </x:c>
      <x:c r="AN33" s="76" t="str">
        <x:f>IF(AND(AN$10&gt;=$E33,AN$10&lt;=$F33),"■","")</x:f>
      </x:c>
    </x:row>
    <x:row r="34" ht="38" customHeight="1">
      <x:c r="A34" s="86" t="n">
        <x:v>24</x:v>
      </x:c>
      <x:c r="B34" s="86" t="str">
        <x:v>秋季口味蛋糕及切块上线</x:v>
      </x:c>
      <x:c r="C34" s="86" t="str">
        <x:v>美团点评</x:v>
      </x:c>
      <x:c r="D34" s="86" t="str">
        <x:v>秋季切块收藏打卡有礼</x:v>
      </x:c>
      <x:c r="E34" s="87" t="n">
        <x:v>46313</x:v>
      </x:c>
      <x:c r="F34" s="87" t="n">
        <x:v>46326</x:v>
      </x:c>
      <x:c r="G34" s="88" t="n">
        <x:f>F34-E34+1</x:f>
        <x:v>14</x:v>
      </x:c>
      <x:c r="H34" s="86" t="str">
        <x:v>礼品、库存、核销统一，统计收藏和到店</x:v>
      </x:c>
      <x:c r="I34" s="86" t="str"/>
      <x:c r="J34" s="76" t="str">
        <x:f>IF(AND(J$10&gt;=$E34,J$10&lt;=$F34),"■","")</x:f>
      </x:c>
      <x:c r="K34" s="76" t="str">
        <x:f>IF(AND(K$10&gt;=$E34,K$10&lt;=$F34),"■","")</x:f>
      </x:c>
      <x:c r="L34" s="76" t="str">
        <x:f>IF(AND(L$10&gt;=$E34,L$10&lt;=$F34),"■","")</x:f>
      </x:c>
      <x:c r="M34" s="76" t="str">
        <x:f>IF(AND(M$10&gt;=$E34,M$10&lt;=$F34),"■","")</x:f>
      </x:c>
      <x:c r="N34" s="76" t="str">
        <x:f>IF(AND(N$10&gt;=$E34,N$10&lt;=$F34),"■","")</x:f>
      </x:c>
      <x:c r="O34" s="76" t="str">
        <x:f>IF(AND(O$10&gt;=$E34,O$10&lt;=$F34),"■","")</x:f>
      </x:c>
      <x:c r="P34" s="76" t="str">
        <x:f>IF(AND(P$10&gt;=$E34,P$10&lt;=$F34),"■","")</x:f>
      </x:c>
      <x:c r="Q34" s="76" t="str">
        <x:f>IF(AND(Q$10&gt;=$E34,Q$10&lt;=$F34),"■","")</x:f>
      </x:c>
      <x:c r="R34" s="76" t="str">
        <x:f>IF(AND(R$10&gt;=$E34,R$10&lt;=$F34),"■","")</x:f>
      </x:c>
      <x:c r="S34" s="76" t="str">
        <x:f>IF(AND(S$10&gt;=$E34,S$10&lt;=$F34),"■","")</x:f>
      </x:c>
      <x:c r="T34" s="76" t="str">
        <x:f>IF(AND(T$10&gt;=$E34,T$10&lt;=$F34),"■","")</x:f>
      </x:c>
      <x:c r="U34" s="76" t="str">
        <x:f>IF(AND(U$10&gt;=$E34,U$10&lt;=$F34),"■","")</x:f>
      </x:c>
      <x:c r="V34" s="76" t="str">
        <x:f>IF(AND(V$10&gt;=$E34,V$10&lt;=$F34),"■","")</x:f>
      </x:c>
      <x:c r="W34" s="76" t="str">
        <x:f>IF(AND(W$10&gt;=$E34,W$10&lt;=$F34),"■","")</x:f>
      </x:c>
      <x:c r="X34" s="76" t="str">
        <x:f>IF(AND(X$10&gt;=$E34,X$10&lt;=$F34),"■","")</x:f>
      </x:c>
      <x:c r="Y34" s="76" t="str">
        <x:f>IF(AND(Y$10&gt;=$E34,Y$10&lt;=$F34),"■","")</x:f>
      </x:c>
      <x:c r="Z34" s="76" t="str">
        <x:f>IF(AND(Z$10&gt;=$E34,Z$10&lt;=$F34),"■","")</x:f>
      </x:c>
      <x:c r="AA34" s="76" t="str">
        <x:f>IF(AND(AA$10&gt;=$E34,AA$10&lt;=$F34),"■","")</x:f>
        <x:v>■</x:v>
      </x:c>
      <x:c r="AB34" s="76" t="str">
        <x:f>IF(AND(AB$10&gt;=$E34,AB$10&lt;=$F34),"■","")</x:f>
        <x:v>■</x:v>
      </x:c>
      <x:c r="AC34" s="76" t="str">
        <x:f>IF(AND(AC$10&gt;=$E34,AC$10&lt;=$F34),"■","")</x:f>
        <x:v>■</x:v>
      </x:c>
      <x:c r="AD34" s="76" t="str">
        <x:f>IF(AND(AD$10&gt;=$E34,AD$10&lt;=$F34),"■","")</x:f>
        <x:v>■</x:v>
      </x:c>
      <x:c r="AE34" s="76" t="str">
        <x:f>IF(AND(AE$10&gt;=$E34,AE$10&lt;=$F34),"■","")</x:f>
        <x:v>■</x:v>
      </x:c>
      <x:c r="AF34" s="76" t="str">
        <x:f>IF(AND(AF$10&gt;=$E34,AF$10&lt;=$F34),"■","")</x:f>
        <x:v>■</x:v>
      </x:c>
      <x:c r="AG34" s="76" t="str">
        <x:f>IF(AND(AG$10&gt;=$E34,AG$10&lt;=$F34),"■","")</x:f>
        <x:v>■</x:v>
      </x:c>
      <x:c r="AH34" s="76" t="str">
        <x:f>IF(AND(AH$10&gt;=$E34,AH$10&lt;=$F34),"■","")</x:f>
        <x:v>■</x:v>
      </x:c>
      <x:c r="AI34" s="76" t="str">
        <x:f>IF(AND(AI$10&gt;=$E34,AI$10&lt;=$F34),"■","")</x:f>
        <x:v>■</x:v>
      </x:c>
      <x:c r="AJ34" s="76" t="str">
        <x:f>IF(AND(AJ$10&gt;=$E34,AJ$10&lt;=$F34),"■","")</x:f>
        <x:v>■</x:v>
      </x:c>
      <x:c r="AK34" s="76" t="str">
        <x:f>IF(AND(AK$10&gt;=$E34,AK$10&lt;=$F34),"■","")</x:f>
        <x:v>■</x:v>
      </x:c>
      <x:c r="AL34" s="76" t="str">
        <x:f>IF(AND(AL$10&gt;=$E34,AL$10&lt;=$F34),"■","")</x:f>
        <x:v>■</x:v>
      </x:c>
      <x:c r="AM34" s="76" t="str">
        <x:f>IF(AND(AM$10&gt;=$E34,AM$10&lt;=$F34),"■","")</x:f>
        <x:v>■</x:v>
      </x:c>
      <x:c r="AN34" s="76" t="str">
        <x:f>IF(AND(AN$10&gt;=$E34,AN$10&lt;=$F34),"■","")</x:f>
        <x:v>■</x:v>
      </x:c>
    </x:row>
    <x:row r="35" ht="38" customHeight="1">
      <x:c r="A35" s="86" t="n">
        <x:v>25</x:v>
      </x:c>
      <x:c r="B35" s="86" t="str">
        <x:v>月度基础经营</x:v>
      </x:c>
      <x:c r="C35" s="86" t="str">
        <x:v>美团点评</x:v>
      </x:c>
      <x:c r="D35" s="86" t="str">
        <x:v>真实评价邀评与低分闭环</x:v>
      </x:c>
      <x:c r="E35" s="87" t="n">
        <x:v>46296</x:v>
      </x:c>
      <x:c r="F35" s="87" t="n">
        <x:v>46326</x:v>
      </x:c>
      <x:c r="G35" s="88" t="n">
        <x:f>F35-E35+1</x:f>
        <x:v>31</x:v>
      </x:c>
      <x:c r="H35" s="86" t="str">
        <x:v>真实消费邀评，低分 24 小时内回访并整改</x:v>
      </x:c>
      <x:c r="I35" s="86" t="str"/>
      <x:c r="J35" s="76" t="str">
        <x:f>IF(AND(J$10&gt;=$E35,J$10&lt;=$F35),"■","")</x:f>
        <x:v>■</x:v>
      </x:c>
      <x:c r="K35" s="76" t="str">
        <x:f>IF(AND(K$10&gt;=$E35,K$10&lt;=$F35),"■","")</x:f>
        <x:v>■</x:v>
      </x:c>
      <x:c r="L35" s="76" t="str">
        <x:f>IF(AND(L$10&gt;=$E35,L$10&lt;=$F35),"■","")</x:f>
        <x:v>■</x:v>
      </x:c>
      <x:c r="M35" s="76" t="str">
        <x:f>IF(AND(M$10&gt;=$E35,M$10&lt;=$F35),"■","")</x:f>
        <x:v>■</x:v>
      </x:c>
      <x:c r="N35" s="76" t="str">
        <x:f>IF(AND(N$10&gt;=$E35,N$10&lt;=$F35),"■","")</x:f>
        <x:v>■</x:v>
      </x:c>
      <x:c r="O35" s="76" t="str">
        <x:f>IF(AND(O$10&gt;=$E35,O$10&lt;=$F35),"■","")</x:f>
        <x:v>■</x:v>
      </x:c>
      <x:c r="P35" s="76" t="str">
        <x:f>IF(AND(P$10&gt;=$E35,P$10&lt;=$F35),"■","")</x:f>
        <x:v>■</x:v>
      </x:c>
      <x:c r="Q35" s="76" t="str">
        <x:f>IF(AND(Q$10&gt;=$E35,Q$10&lt;=$F35),"■","")</x:f>
        <x:v>■</x:v>
      </x:c>
      <x:c r="R35" s="76" t="str">
        <x:f>IF(AND(R$10&gt;=$E35,R$10&lt;=$F35),"■","")</x:f>
        <x:v>■</x:v>
      </x:c>
      <x:c r="S35" s="76" t="str">
        <x:f>IF(AND(S$10&gt;=$E35,S$10&lt;=$F35),"■","")</x:f>
        <x:v>■</x:v>
      </x:c>
      <x:c r="T35" s="76" t="str">
        <x:f>IF(AND(T$10&gt;=$E35,T$10&lt;=$F35),"■","")</x:f>
        <x:v>■</x:v>
      </x:c>
      <x:c r="U35" s="76" t="str">
        <x:f>IF(AND(U$10&gt;=$E35,U$10&lt;=$F35),"■","")</x:f>
        <x:v>■</x:v>
      </x:c>
      <x:c r="V35" s="76" t="str">
        <x:f>IF(AND(V$10&gt;=$E35,V$10&lt;=$F35),"■","")</x:f>
        <x:v>■</x:v>
      </x:c>
      <x:c r="W35" s="76" t="str">
        <x:f>IF(AND(W$10&gt;=$E35,W$10&lt;=$F35),"■","")</x:f>
        <x:v>■</x:v>
      </x:c>
      <x:c r="X35" s="76" t="str">
        <x:f>IF(AND(X$10&gt;=$E35,X$10&lt;=$F35),"■","")</x:f>
        <x:v>■</x:v>
      </x:c>
      <x:c r="Y35" s="76" t="str">
        <x:f>IF(AND(Y$10&gt;=$E35,Y$10&lt;=$F35),"■","")</x:f>
        <x:v>■</x:v>
      </x:c>
      <x:c r="Z35" s="76" t="str">
        <x:f>IF(AND(Z$10&gt;=$E35,Z$10&lt;=$F35),"■","")</x:f>
        <x:v>■</x:v>
      </x:c>
      <x:c r="AA35" s="76" t="str">
        <x:f>IF(AND(AA$10&gt;=$E35,AA$10&lt;=$F35),"■","")</x:f>
        <x:v>■</x:v>
      </x:c>
      <x:c r="AB35" s="76" t="str">
        <x:f>IF(AND(AB$10&gt;=$E35,AB$10&lt;=$F35),"■","")</x:f>
        <x:v>■</x:v>
      </x:c>
      <x:c r="AC35" s="76" t="str">
        <x:f>IF(AND(AC$10&gt;=$E35,AC$10&lt;=$F35),"■","")</x:f>
        <x:v>■</x:v>
      </x:c>
      <x:c r="AD35" s="76" t="str">
        <x:f>IF(AND(AD$10&gt;=$E35,AD$10&lt;=$F35),"■","")</x:f>
        <x:v>■</x:v>
      </x:c>
      <x:c r="AE35" s="76" t="str">
        <x:f>IF(AND(AE$10&gt;=$E35,AE$10&lt;=$F35),"■","")</x:f>
        <x:v>■</x:v>
      </x:c>
      <x:c r="AF35" s="76" t="str">
        <x:f>IF(AND(AF$10&gt;=$E35,AF$10&lt;=$F35),"■","")</x:f>
        <x:v>■</x:v>
      </x:c>
      <x:c r="AG35" s="76" t="str">
        <x:f>IF(AND(AG$10&gt;=$E35,AG$10&lt;=$F35),"■","")</x:f>
        <x:v>■</x:v>
      </x:c>
      <x:c r="AH35" s="76" t="str">
        <x:f>IF(AND(AH$10&gt;=$E35,AH$10&lt;=$F35),"■","")</x:f>
        <x:v>■</x:v>
      </x:c>
      <x:c r="AI35" s="76" t="str">
        <x:f>IF(AND(AI$10&gt;=$E35,AI$10&lt;=$F35),"■","")</x:f>
        <x:v>■</x:v>
      </x:c>
      <x:c r="AJ35" s="76" t="str">
        <x:f>IF(AND(AJ$10&gt;=$E35,AJ$10&lt;=$F35),"■","")</x:f>
        <x:v>■</x:v>
      </x:c>
      <x:c r="AK35" s="76" t="str">
        <x:f>IF(AND(AK$10&gt;=$E35,AK$10&lt;=$F35),"■","")</x:f>
        <x:v>■</x:v>
      </x:c>
      <x:c r="AL35" s="76" t="str">
        <x:f>IF(AND(AL$10&gt;=$E35,AL$10&lt;=$F35),"■","")</x:f>
        <x:v>■</x:v>
      </x:c>
      <x:c r="AM35" s="76" t="str">
        <x:f>IF(AND(AM$10&gt;=$E35,AM$10&lt;=$F35),"■","")</x:f>
        <x:v>■</x:v>
      </x:c>
      <x:c r="AN35" s="76" t="str">
        <x:f>IF(AND(AN$10&gt;=$E35,AN$10&lt;=$F35),"■","")</x:f>
        <x:v>■</x:v>
      </x:c>
    </x:row>
    <x:row r="36" ht="38" customHeight="1">
      <x:c r="A36" s="86" t="n">
        <x:v>26</x:v>
      </x:c>
      <x:c r="B36" s="86" t="str">
        <x:v>秋季口味蛋糕及切块上线</x:v>
      </x:c>
      <x:c r="C36" s="86" t="str">
        <x:v>美团点评</x:v>
      </x:c>
      <x:c r="D36" s="86" t="str">
        <x:v>小红书付费博主内容同步</x:v>
      </x:c>
      <x:c r="E36" s="87" t="n">
        <x:v>46313</x:v>
      </x:c>
      <x:c r="F36" s="87" t="n">
        <x:v>46325</x:v>
      </x:c>
      <x:c r="G36" s="88" t="n">
        <x:f>F36-E36+1</x:f>
        <x:v>13</x:v>
      </x:c>
      <x:c r="H36" s="86" t="str">
        <x:v>取得授权后同步，记录浏览、收藏和团购成交</x:v>
      </x:c>
      <x:c r="I36" s="86" t="str"/>
      <x:c r="J36" s="76" t="str">
        <x:f>IF(AND(J$10&gt;=$E36,J$10&lt;=$F36),"■","")</x:f>
      </x:c>
      <x:c r="K36" s="76" t="str">
        <x:f>IF(AND(K$10&gt;=$E36,K$10&lt;=$F36),"■","")</x:f>
      </x:c>
      <x:c r="L36" s="76" t="str">
        <x:f>IF(AND(L$10&gt;=$E36,L$10&lt;=$F36),"■","")</x:f>
      </x:c>
      <x:c r="M36" s="76" t="str">
        <x:f>IF(AND(M$10&gt;=$E36,M$10&lt;=$F36),"■","")</x:f>
      </x:c>
      <x:c r="N36" s="76" t="str">
        <x:f>IF(AND(N$10&gt;=$E36,N$10&lt;=$F36),"■","")</x:f>
      </x:c>
      <x:c r="O36" s="76" t="str">
        <x:f>IF(AND(O$10&gt;=$E36,O$10&lt;=$F36),"■","")</x:f>
      </x:c>
      <x:c r="P36" s="76" t="str">
        <x:f>IF(AND(P$10&gt;=$E36,P$10&lt;=$F36),"■","")</x:f>
      </x:c>
      <x:c r="Q36" s="76" t="str">
        <x:f>IF(AND(Q$10&gt;=$E36,Q$10&lt;=$F36),"■","")</x:f>
      </x:c>
      <x:c r="R36" s="76" t="str">
        <x:f>IF(AND(R$10&gt;=$E36,R$10&lt;=$F36),"■","")</x:f>
      </x:c>
      <x:c r="S36" s="76" t="str">
        <x:f>IF(AND(S$10&gt;=$E36,S$10&lt;=$F36),"■","")</x:f>
      </x:c>
      <x:c r="T36" s="76" t="str">
        <x:f>IF(AND(T$10&gt;=$E36,T$10&lt;=$F36),"■","")</x:f>
      </x:c>
      <x:c r="U36" s="76" t="str">
        <x:f>IF(AND(U$10&gt;=$E36,U$10&lt;=$F36),"■","")</x:f>
      </x:c>
      <x:c r="V36" s="76" t="str">
        <x:f>IF(AND(V$10&gt;=$E36,V$10&lt;=$F36),"■","")</x:f>
      </x:c>
      <x:c r="W36" s="76" t="str">
        <x:f>IF(AND(W$10&gt;=$E36,W$10&lt;=$F36),"■","")</x:f>
      </x:c>
      <x:c r="X36" s="76" t="str">
        <x:f>IF(AND(X$10&gt;=$E36,X$10&lt;=$F36),"■","")</x:f>
      </x:c>
      <x:c r="Y36" s="76" t="str">
        <x:f>IF(AND(Y$10&gt;=$E36,Y$10&lt;=$F36),"■","")</x:f>
      </x:c>
      <x:c r="Z36" s="76" t="str">
        <x:f>IF(AND(Z$10&gt;=$E36,Z$10&lt;=$F36),"■","")</x:f>
      </x:c>
      <x:c r="AA36" s="76" t="str">
        <x:f>IF(AND(AA$10&gt;=$E36,AA$10&lt;=$F36),"■","")</x:f>
        <x:v>■</x:v>
      </x:c>
      <x:c r="AB36" s="76" t="str">
        <x:f>IF(AND(AB$10&gt;=$E36,AB$10&lt;=$F36),"■","")</x:f>
        <x:v>■</x:v>
      </x:c>
      <x:c r="AC36" s="76" t="str">
        <x:f>IF(AND(AC$10&gt;=$E36,AC$10&lt;=$F36),"■","")</x:f>
        <x:v>■</x:v>
      </x:c>
      <x:c r="AD36" s="76" t="str">
        <x:f>IF(AND(AD$10&gt;=$E36,AD$10&lt;=$F36),"■","")</x:f>
        <x:v>■</x:v>
      </x:c>
      <x:c r="AE36" s="76" t="str">
        <x:f>IF(AND(AE$10&gt;=$E36,AE$10&lt;=$F36),"■","")</x:f>
        <x:v>■</x:v>
      </x:c>
      <x:c r="AF36" s="76" t="str">
        <x:f>IF(AND(AF$10&gt;=$E36,AF$10&lt;=$F36),"■","")</x:f>
        <x:v>■</x:v>
      </x:c>
      <x:c r="AG36" s="76" t="str">
        <x:f>IF(AND(AG$10&gt;=$E36,AG$10&lt;=$F36),"■","")</x:f>
        <x:v>■</x:v>
      </x:c>
      <x:c r="AH36" s="76" t="str">
        <x:f>IF(AND(AH$10&gt;=$E36,AH$10&lt;=$F36),"■","")</x:f>
        <x:v>■</x:v>
      </x:c>
      <x:c r="AI36" s="76" t="str">
        <x:f>IF(AND(AI$10&gt;=$E36,AI$10&lt;=$F36),"■","")</x:f>
        <x:v>■</x:v>
      </x:c>
      <x:c r="AJ36" s="76" t="str">
        <x:f>IF(AND(AJ$10&gt;=$E36,AJ$10&lt;=$F36),"■","")</x:f>
        <x:v>■</x:v>
      </x:c>
      <x:c r="AK36" s="76" t="str">
        <x:f>IF(AND(AK$10&gt;=$E36,AK$10&lt;=$F36),"■","")</x:f>
        <x:v>■</x:v>
      </x:c>
      <x:c r="AL36" s="76" t="str">
        <x:f>IF(AND(AL$10&gt;=$E36,AL$10&lt;=$F36),"■","")</x:f>
        <x:v>■</x:v>
      </x:c>
      <x:c r="AM36" s="76" t="str">
        <x:f>IF(AND(AM$10&gt;=$E36,AM$10&lt;=$F36),"■","")</x:f>
        <x:v>■</x:v>
      </x:c>
      <x:c r="AN36" s="76" t="str">
        <x:f>IF(AND(AN$10&gt;=$E36,AN$10&lt;=$F36),"■","")</x:f>
      </x:c>
    </x:row>
    <x:row r="37" ht="38" customHeight="1">
      <x:c r="A37" s="86" t="n">
        <x:v>27</x:v>
      </x:c>
      <x:c r="B37" s="86" t="str">
        <x:v>秋季口味蛋糕及切块上线</x:v>
      </x:c>
      <x:c r="C37" s="86" t="str">
        <x:v>美团点评</x:v>
      </x:c>
      <x:c r="D37" s="86" t="str">
        <x:v>49.9 元以下流量品团购上线</x:v>
      </x:c>
      <x:c r="E37" s="87" t="n">
        <x:v>46313</x:v>
      </x:c>
      <x:c r="F37" s="87" t="n">
        <x:v>46326</x:v>
      </x:c>
      <x:c r="G37" s="88" t="n">
        <x:f>F37-E37+1</x:f>
        <x:v>14</x:v>
      </x:c>
      <x:c r="H37" s="86" t="str">
        <x:v>商品可售可核销，并单独记录引流与连带销售</x:v>
      </x:c>
      <x:c r="I37" s="86" t="str"/>
      <x:c r="J37" s="76" t="str">
        <x:f>IF(AND(J$10&gt;=$E37,J$10&lt;=$F37),"■","")</x:f>
      </x:c>
      <x:c r="K37" s="76" t="str">
        <x:f>IF(AND(K$10&gt;=$E37,K$10&lt;=$F37),"■","")</x:f>
      </x:c>
      <x:c r="L37" s="76" t="str">
        <x:f>IF(AND(L$10&gt;=$E37,L$10&lt;=$F37),"■","")</x:f>
      </x:c>
      <x:c r="M37" s="76" t="str">
        <x:f>IF(AND(M$10&gt;=$E37,M$10&lt;=$F37),"■","")</x:f>
      </x:c>
      <x:c r="N37" s="76" t="str">
        <x:f>IF(AND(N$10&gt;=$E37,N$10&lt;=$F37),"■","")</x:f>
      </x:c>
      <x:c r="O37" s="76" t="str">
        <x:f>IF(AND(O$10&gt;=$E37,O$10&lt;=$F37),"■","")</x:f>
      </x:c>
      <x:c r="P37" s="76" t="str">
        <x:f>IF(AND(P$10&gt;=$E37,P$10&lt;=$F37),"■","")</x:f>
      </x:c>
      <x:c r="Q37" s="76" t="str">
        <x:f>IF(AND(Q$10&gt;=$E37,Q$10&lt;=$F37),"■","")</x:f>
      </x:c>
      <x:c r="R37" s="76" t="str">
        <x:f>IF(AND(R$10&gt;=$E37,R$10&lt;=$F37),"■","")</x:f>
      </x:c>
      <x:c r="S37" s="76" t="str">
        <x:f>IF(AND(S$10&gt;=$E37,S$10&lt;=$F37),"■","")</x:f>
      </x:c>
      <x:c r="T37" s="76" t="str">
        <x:f>IF(AND(T$10&gt;=$E37,T$10&lt;=$F37),"■","")</x:f>
      </x:c>
      <x:c r="U37" s="76" t="str">
        <x:f>IF(AND(U$10&gt;=$E37,U$10&lt;=$F37),"■","")</x:f>
      </x:c>
      <x:c r="V37" s="76" t="str">
        <x:f>IF(AND(V$10&gt;=$E37,V$10&lt;=$F37),"■","")</x:f>
      </x:c>
      <x:c r="W37" s="76" t="str">
        <x:f>IF(AND(W$10&gt;=$E37,W$10&lt;=$F37),"■","")</x:f>
      </x:c>
      <x:c r="X37" s="76" t="str">
        <x:f>IF(AND(X$10&gt;=$E37,X$10&lt;=$F37),"■","")</x:f>
      </x:c>
      <x:c r="Y37" s="76" t="str">
        <x:f>IF(AND(Y$10&gt;=$E37,Y$10&lt;=$F37),"■","")</x:f>
      </x:c>
      <x:c r="Z37" s="76" t="str">
        <x:f>IF(AND(Z$10&gt;=$E37,Z$10&lt;=$F37),"■","")</x:f>
      </x:c>
      <x:c r="AA37" s="76" t="str">
        <x:f>IF(AND(AA$10&gt;=$E37,AA$10&lt;=$F37),"■","")</x:f>
        <x:v>■</x:v>
      </x:c>
      <x:c r="AB37" s="76" t="str">
        <x:f>IF(AND(AB$10&gt;=$E37,AB$10&lt;=$F37),"■","")</x:f>
        <x:v>■</x:v>
      </x:c>
      <x:c r="AC37" s="76" t="str">
        <x:f>IF(AND(AC$10&gt;=$E37,AC$10&lt;=$F37),"■","")</x:f>
        <x:v>■</x:v>
      </x:c>
      <x:c r="AD37" s="76" t="str">
        <x:f>IF(AND(AD$10&gt;=$E37,AD$10&lt;=$F37),"■","")</x:f>
        <x:v>■</x:v>
      </x:c>
      <x:c r="AE37" s="76" t="str">
        <x:f>IF(AND(AE$10&gt;=$E37,AE$10&lt;=$F37),"■","")</x:f>
        <x:v>■</x:v>
      </x:c>
      <x:c r="AF37" s="76" t="str">
        <x:f>IF(AND(AF$10&gt;=$E37,AF$10&lt;=$F37),"■","")</x:f>
        <x:v>■</x:v>
      </x:c>
      <x:c r="AG37" s="76" t="str">
        <x:f>IF(AND(AG$10&gt;=$E37,AG$10&lt;=$F37),"■","")</x:f>
        <x:v>■</x:v>
      </x:c>
      <x:c r="AH37" s="76" t="str">
        <x:f>IF(AND(AH$10&gt;=$E37,AH$10&lt;=$F37),"■","")</x:f>
        <x:v>■</x:v>
      </x:c>
      <x:c r="AI37" s="76" t="str">
        <x:f>IF(AND(AI$10&gt;=$E37,AI$10&lt;=$F37),"■","")</x:f>
        <x:v>■</x:v>
      </x:c>
      <x:c r="AJ37" s="76" t="str">
        <x:f>IF(AND(AJ$10&gt;=$E37,AJ$10&lt;=$F37),"■","")</x:f>
        <x:v>■</x:v>
      </x:c>
      <x:c r="AK37" s="76" t="str">
        <x:f>IF(AND(AK$10&gt;=$E37,AK$10&lt;=$F37),"■","")</x:f>
        <x:v>■</x:v>
      </x:c>
      <x:c r="AL37" s="76" t="str">
        <x:f>IF(AND(AL$10&gt;=$E37,AL$10&lt;=$F37),"■","")</x:f>
        <x:v>■</x:v>
      </x:c>
      <x:c r="AM37" s="76" t="str">
        <x:f>IF(AND(AM$10&gt;=$E37,AM$10&lt;=$F37),"■","")</x:f>
        <x:v>■</x:v>
      </x:c>
      <x:c r="AN37" s="76" t="str">
        <x:f>IF(AND(AN$10&gt;=$E37,AN$10&lt;=$F37),"■","")</x:f>
        <x:v>■</x:v>
      </x:c>
    </x:row>
    <x:row r="38" ht="38" customHeight="1">
      <x:c r="A38" s="86" t="n">
        <x:v>28</x:v>
      </x:c>
      <x:c r="B38" s="86" t="str">
        <x:v>月度基础经营</x:v>
      </x:c>
      <x:c r="C38" s="86" t="str">
        <x:v>外卖</x:v>
      </x:c>
      <x:c r="D38" s="86" t="str">
        <x:v>门店健康度诊断</x:v>
      </x:c>
      <x:c r="E38" s="87" t="n">
        <x:v>46303</x:v>
      </x:c>
      <x:c r="F38" s="87" t="n">
        <x:v>46306</x:v>
      </x:c>
      <x:c r="G38" s="88" t="n">
        <x:f>F38-E38+1</x:f>
        <x:v>4</x:v>
      </x:c>
      <x:c r="H38" s="86" t="str">
        <x:v>营业、履约、活动、评分和违规指标形成整改清单</x:v>
      </x:c>
      <x:c r="I38" s="86" t="str"/>
      <x:c r="J38" s="76" t="str">
        <x:f>IF(AND(J$10&gt;=$E38,J$10&lt;=$F38),"■","")</x:f>
      </x:c>
      <x:c r="K38" s="76" t="str">
        <x:f>IF(AND(K$10&gt;=$E38,K$10&lt;=$F38),"■","")</x:f>
      </x:c>
      <x:c r="L38" s="76" t="str">
        <x:f>IF(AND(L$10&gt;=$E38,L$10&lt;=$F38),"■","")</x:f>
      </x:c>
      <x:c r="M38" s="76" t="str">
        <x:f>IF(AND(M$10&gt;=$E38,M$10&lt;=$F38),"■","")</x:f>
      </x:c>
      <x:c r="N38" s="76" t="str">
        <x:f>IF(AND(N$10&gt;=$E38,N$10&lt;=$F38),"■","")</x:f>
      </x:c>
      <x:c r="O38" s="76" t="str">
        <x:f>IF(AND(O$10&gt;=$E38,O$10&lt;=$F38),"■","")</x:f>
      </x:c>
      <x:c r="P38" s="76" t="str">
        <x:f>IF(AND(P$10&gt;=$E38,P$10&lt;=$F38),"■","")</x:f>
      </x:c>
      <x:c r="Q38" s="76" t="str">
        <x:f>IF(AND(Q$10&gt;=$E38,Q$10&lt;=$F38),"■","")</x:f>
        <x:v>■</x:v>
      </x:c>
      <x:c r="R38" s="76" t="str">
        <x:f>IF(AND(R$10&gt;=$E38,R$10&lt;=$F38),"■","")</x:f>
        <x:v>■</x:v>
      </x:c>
      <x:c r="S38" s="76" t="str">
        <x:f>IF(AND(S$10&gt;=$E38,S$10&lt;=$F38),"■","")</x:f>
        <x:v>■</x:v>
      </x:c>
      <x:c r="T38" s="76" t="str">
        <x:f>IF(AND(T$10&gt;=$E38,T$10&lt;=$F38),"■","")</x:f>
        <x:v>■</x:v>
      </x:c>
      <x:c r="U38" s="76" t="str">
        <x:f>IF(AND(U$10&gt;=$E38,U$10&lt;=$F38),"■","")</x:f>
      </x:c>
      <x:c r="V38" s="76" t="str">
        <x:f>IF(AND(V$10&gt;=$E38,V$10&lt;=$F38),"■","")</x:f>
      </x:c>
      <x:c r="W38" s="76" t="str">
        <x:f>IF(AND(W$10&gt;=$E38,W$10&lt;=$F38),"■","")</x:f>
      </x:c>
      <x:c r="X38" s="76" t="str">
        <x:f>IF(AND(X$10&gt;=$E38,X$10&lt;=$F38),"■","")</x:f>
      </x:c>
      <x:c r="Y38" s="76" t="str">
        <x:f>IF(AND(Y$10&gt;=$E38,Y$10&lt;=$F38),"■","")</x:f>
      </x:c>
      <x:c r="Z38" s="76" t="str">
        <x:f>IF(AND(Z$10&gt;=$E38,Z$10&lt;=$F38),"■","")</x:f>
      </x:c>
      <x:c r="AA38" s="76" t="str">
        <x:f>IF(AND(AA$10&gt;=$E38,AA$10&lt;=$F38),"■","")</x:f>
      </x:c>
      <x:c r="AB38" s="76" t="str">
        <x:f>IF(AND(AB$10&gt;=$E38,AB$10&lt;=$F38),"■","")</x:f>
      </x:c>
      <x:c r="AC38" s="76" t="str">
        <x:f>IF(AND(AC$10&gt;=$E38,AC$10&lt;=$F38),"■","")</x:f>
      </x:c>
      <x:c r="AD38" s="76" t="str">
        <x:f>IF(AND(AD$10&gt;=$E38,AD$10&lt;=$F38),"■","")</x:f>
      </x:c>
      <x:c r="AE38" s="76" t="str">
        <x:f>IF(AND(AE$10&gt;=$E38,AE$10&lt;=$F38),"■","")</x:f>
      </x:c>
      <x:c r="AF38" s="76" t="str">
        <x:f>IF(AND(AF$10&gt;=$E38,AF$10&lt;=$F38),"■","")</x:f>
      </x:c>
      <x:c r="AG38" s="76" t="str">
        <x:f>IF(AND(AG$10&gt;=$E38,AG$10&lt;=$F38),"■","")</x:f>
      </x:c>
      <x:c r="AH38" s="76" t="str">
        <x:f>IF(AND(AH$10&gt;=$E38,AH$10&lt;=$F38),"■","")</x:f>
      </x:c>
      <x:c r="AI38" s="76" t="str">
        <x:f>IF(AND(AI$10&gt;=$E38,AI$10&lt;=$F38),"■","")</x:f>
      </x:c>
      <x:c r="AJ38" s="76" t="str">
        <x:f>IF(AND(AJ$10&gt;=$E38,AJ$10&lt;=$F38),"■","")</x:f>
      </x:c>
      <x:c r="AK38" s="76" t="str">
        <x:f>IF(AND(AK$10&gt;=$E38,AK$10&lt;=$F38),"■","")</x:f>
      </x:c>
      <x:c r="AL38" s="76" t="str">
        <x:f>IF(AND(AL$10&gt;=$E38,AL$10&lt;=$F38),"■","")</x:f>
      </x:c>
      <x:c r="AM38" s="76" t="str">
        <x:f>IF(AND(AM$10&gt;=$E38,AM$10&lt;=$F38),"■","")</x:f>
      </x:c>
      <x:c r="AN38" s="76" t="str">
        <x:f>IF(AND(AN$10&gt;=$E38,AN$10&lt;=$F38),"■","")</x:f>
      </x:c>
    </x:row>
    <x:row r="39" ht="38" customHeight="1">
      <x:c r="A39" s="86" t="n">
        <x:v>29</x:v>
      </x:c>
      <x:c r="B39" s="86" t="str">
        <x:v>秋季口味蛋糕及切块上线</x:v>
      </x:c>
      <x:c r="C39" s="86" t="str">
        <x:v>外卖</x:v>
      </x:c>
      <x:c r="D39" s="86" t="str">
        <x:v>菜单增加秋季切块钩子产品</x:v>
      </x:c>
      <x:c r="E39" s="87" t="n">
        <x:v>46311</x:v>
      </x:c>
      <x:c r="F39" s="87" t="n">
        <x:v>46315</x:v>
      </x:c>
      <x:c r="G39" s="88" t="n">
        <x:f>F39-E39+1</x:f>
        <x:v>5</x:v>
      </x:c>
      <x:c r="H39" s="86" t="str">
        <x:v>钩子产品可搜索、低门槛并能带动主品</x:v>
      </x:c>
      <x:c r="I39" s="86" t="str"/>
      <x:c r="J39" s="76" t="str">
        <x:f>IF(AND(J$10&gt;=$E39,J$10&lt;=$F39),"■","")</x:f>
      </x:c>
      <x:c r="K39" s="76" t="str">
        <x:f>IF(AND(K$10&gt;=$E39,K$10&lt;=$F39),"■","")</x:f>
      </x:c>
      <x:c r="L39" s="76" t="str">
        <x:f>IF(AND(L$10&gt;=$E39,L$10&lt;=$F39),"■","")</x:f>
      </x:c>
      <x:c r="M39" s="76" t="str">
        <x:f>IF(AND(M$10&gt;=$E39,M$10&lt;=$F39),"■","")</x:f>
      </x:c>
      <x:c r="N39" s="76" t="str">
        <x:f>IF(AND(N$10&gt;=$E39,N$10&lt;=$F39),"■","")</x:f>
      </x:c>
      <x:c r="O39" s="76" t="str">
        <x:f>IF(AND(O$10&gt;=$E39,O$10&lt;=$F39),"■","")</x:f>
      </x:c>
      <x:c r="P39" s="76" t="str">
        <x:f>IF(AND(P$10&gt;=$E39,P$10&lt;=$F39),"■","")</x:f>
      </x:c>
      <x:c r="Q39" s="76" t="str">
        <x:f>IF(AND(Q$10&gt;=$E39,Q$10&lt;=$F39),"■","")</x:f>
      </x:c>
      <x:c r="R39" s="76" t="str">
        <x:f>IF(AND(R$10&gt;=$E39,R$10&lt;=$F39),"■","")</x:f>
      </x:c>
      <x:c r="S39" s="76" t="str">
        <x:f>IF(AND(S$10&gt;=$E39,S$10&lt;=$F39),"■","")</x:f>
      </x:c>
      <x:c r="T39" s="76" t="str">
        <x:f>IF(AND(T$10&gt;=$E39,T$10&lt;=$F39),"■","")</x:f>
      </x:c>
      <x:c r="U39" s="76" t="str">
        <x:f>IF(AND(U$10&gt;=$E39,U$10&lt;=$F39),"■","")</x:f>
      </x:c>
      <x:c r="V39" s="76" t="str">
        <x:f>IF(AND(V$10&gt;=$E39,V$10&lt;=$F39),"■","")</x:f>
      </x:c>
      <x:c r="W39" s="76" t="str">
        <x:f>IF(AND(W$10&gt;=$E39,W$10&lt;=$F39),"■","")</x:f>
      </x:c>
      <x:c r="X39" s="76" t="str">
        <x:f>IF(AND(X$10&gt;=$E39,X$10&lt;=$F39),"■","")</x:f>
      </x:c>
      <x:c r="Y39" s="76" t="str">
        <x:f>IF(AND(Y$10&gt;=$E39,Y$10&lt;=$F39),"■","")</x:f>
        <x:v>■</x:v>
      </x:c>
      <x:c r="Z39" s="76" t="str">
        <x:f>IF(AND(Z$10&gt;=$E39,Z$10&lt;=$F39),"■","")</x:f>
        <x:v>■</x:v>
      </x:c>
      <x:c r="AA39" s="76" t="str">
        <x:f>IF(AND(AA$10&gt;=$E39,AA$10&lt;=$F39),"■","")</x:f>
        <x:v>■</x:v>
      </x:c>
      <x:c r="AB39" s="76" t="str">
        <x:f>IF(AND(AB$10&gt;=$E39,AB$10&lt;=$F39),"■","")</x:f>
        <x:v>■</x:v>
      </x:c>
      <x:c r="AC39" s="76" t="str">
        <x:f>IF(AND(AC$10&gt;=$E39,AC$10&lt;=$F39),"■","")</x:f>
        <x:v>■</x:v>
      </x:c>
      <x:c r="AD39" s="76" t="str">
        <x:f>IF(AND(AD$10&gt;=$E39,AD$10&lt;=$F39),"■","")</x:f>
      </x:c>
      <x:c r="AE39" s="76" t="str">
        <x:f>IF(AND(AE$10&gt;=$E39,AE$10&lt;=$F39),"■","")</x:f>
      </x:c>
      <x:c r="AF39" s="76" t="str">
        <x:f>IF(AND(AF$10&gt;=$E39,AF$10&lt;=$F39),"■","")</x:f>
      </x:c>
      <x:c r="AG39" s="76" t="str">
        <x:f>IF(AND(AG$10&gt;=$E39,AG$10&lt;=$F39),"■","")</x:f>
      </x:c>
      <x:c r="AH39" s="76" t="str">
        <x:f>IF(AND(AH$10&gt;=$E39,AH$10&lt;=$F39),"■","")</x:f>
      </x:c>
      <x:c r="AI39" s="76" t="str">
        <x:f>IF(AND(AI$10&gt;=$E39,AI$10&lt;=$F39),"■","")</x:f>
      </x:c>
      <x:c r="AJ39" s="76" t="str">
        <x:f>IF(AND(AJ$10&gt;=$E39,AJ$10&lt;=$F39),"■","")</x:f>
      </x:c>
      <x:c r="AK39" s="76" t="str">
        <x:f>IF(AND(AK$10&gt;=$E39,AK$10&lt;=$F39),"■","")</x:f>
      </x:c>
      <x:c r="AL39" s="76" t="str">
        <x:f>IF(AND(AL$10&gt;=$E39,AL$10&lt;=$F39),"■","")</x:f>
      </x:c>
      <x:c r="AM39" s="76" t="str">
        <x:f>IF(AND(AM$10&gt;=$E39,AM$10&lt;=$F39),"■","")</x:f>
      </x:c>
      <x:c r="AN39" s="76" t="str">
        <x:f>IF(AND(AN$10&gt;=$E39,AN$10&lt;=$F39),"■","")</x:f>
      </x:c>
    </x:row>
    <x:row r="40" ht="38" customHeight="1">
      <x:c r="A40" s="86" t="n">
        <x:v>30</x:v>
      </x:c>
      <x:c r="B40" s="86" t="str">
        <x:v>月度基础经营</x:v>
      </x:c>
      <x:c r="C40" s="86" t="str">
        <x:v>外卖</x:v>
      </x:c>
      <x:c r="D40" s="86" t="str">
        <x:v>真实订单邀评与低分回访</x:v>
      </x:c>
      <x:c r="E40" s="87" t="n">
        <x:v>46296</x:v>
      </x:c>
      <x:c r="F40" s="87" t="n">
        <x:v>46326</x:v>
      </x:c>
      <x:c r="G40" s="88" t="n">
        <x:f>F40-E40+1</x:f>
        <x:v>31</x:v>
      </x:c>
      <x:c r="H40" s="86" t="str">
        <x:v>只按真实订单邀评，低分原因形成履约整改</x:v>
      </x:c>
      <x:c r="I40" s="86" t="str"/>
      <x:c r="J40" s="76" t="str">
        <x:f>IF(AND(J$10&gt;=$E40,J$10&lt;=$F40),"■","")</x:f>
        <x:v>■</x:v>
      </x:c>
      <x:c r="K40" s="76" t="str">
        <x:f>IF(AND(K$10&gt;=$E40,K$10&lt;=$F40),"■","")</x:f>
        <x:v>■</x:v>
      </x:c>
      <x:c r="L40" s="76" t="str">
        <x:f>IF(AND(L$10&gt;=$E40,L$10&lt;=$F40),"■","")</x:f>
        <x:v>■</x:v>
      </x:c>
      <x:c r="M40" s="76" t="str">
        <x:f>IF(AND(M$10&gt;=$E40,M$10&lt;=$F40),"■","")</x:f>
        <x:v>■</x:v>
      </x:c>
      <x:c r="N40" s="76" t="str">
        <x:f>IF(AND(N$10&gt;=$E40,N$10&lt;=$F40),"■","")</x:f>
        <x:v>■</x:v>
      </x:c>
      <x:c r="O40" s="76" t="str">
        <x:f>IF(AND(O$10&gt;=$E40,O$10&lt;=$F40),"■","")</x:f>
        <x:v>■</x:v>
      </x:c>
      <x:c r="P40" s="76" t="str">
        <x:f>IF(AND(P$10&gt;=$E40,P$10&lt;=$F40),"■","")</x:f>
        <x:v>■</x:v>
      </x:c>
      <x:c r="Q40" s="76" t="str">
        <x:f>IF(AND(Q$10&gt;=$E40,Q$10&lt;=$F40),"■","")</x:f>
        <x:v>■</x:v>
      </x:c>
      <x:c r="R40" s="76" t="str">
        <x:f>IF(AND(R$10&gt;=$E40,R$10&lt;=$F40),"■","")</x:f>
        <x:v>■</x:v>
      </x:c>
      <x:c r="S40" s="76" t="str">
        <x:f>IF(AND(S$10&gt;=$E40,S$10&lt;=$F40),"■","")</x:f>
        <x:v>■</x:v>
      </x:c>
      <x:c r="T40" s="76" t="str">
        <x:f>IF(AND(T$10&gt;=$E40,T$10&lt;=$F40),"■","")</x:f>
        <x:v>■</x:v>
      </x:c>
      <x:c r="U40" s="76" t="str">
        <x:f>IF(AND(U$10&gt;=$E40,U$10&lt;=$F40),"■","")</x:f>
        <x:v>■</x:v>
      </x:c>
      <x:c r="V40" s="76" t="str">
        <x:f>IF(AND(V$10&gt;=$E40,V$10&lt;=$F40),"■","")</x:f>
        <x:v>■</x:v>
      </x:c>
      <x:c r="W40" s="76" t="str">
        <x:f>IF(AND(W$10&gt;=$E40,W$10&lt;=$F40),"■","")</x:f>
        <x:v>■</x:v>
      </x:c>
      <x:c r="X40" s="76" t="str">
        <x:f>IF(AND(X$10&gt;=$E40,X$10&lt;=$F40),"■","")</x:f>
        <x:v>■</x:v>
      </x:c>
      <x:c r="Y40" s="76" t="str">
        <x:f>IF(AND(Y$10&gt;=$E40,Y$10&lt;=$F40),"■","")</x:f>
        <x:v>■</x:v>
      </x:c>
      <x:c r="Z40" s="76" t="str">
        <x:f>IF(AND(Z$10&gt;=$E40,Z$10&lt;=$F40),"■","")</x:f>
        <x:v>■</x:v>
      </x:c>
      <x:c r="AA40" s="76" t="str">
        <x:f>IF(AND(AA$10&gt;=$E40,AA$10&lt;=$F40),"■","")</x:f>
        <x:v>■</x:v>
      </x:c>
      <x:c r="AB40" s="76" t="str">
        <x:f>IF(AND(AB$10&gt;=$E40,AB$10&lt;=$F40),"■","")</x:f>
        <x:v>■</x:v>
      </x:c>
      <x:c r="AC40" s="76" t="str">
        <x:f>IF(AND(AC$10&gt;=$E40,AC$10&lt;=$F40),"■","")</x:f>
        <x:v>■</x:v>
      </x:c>
      <x:c r="AD40" s="76" t="str">
        <x:f>IF(AND(AD$10&gt;=$E40,AD$10&lt;=$F40),"■","")</x:f>
        <x:v>■</x:v>
      </x:c>
      <x:c r="AE40" s="76" t="str">
        <x:f>IF(AND(AE$10&gt;=$E40,AE$10&lt;=$F40),"■","")</x:f>
        <x:v>■</x:v>
      </x:c>
      <x:c r="AF40" s="76" t="str">
        <x:f>IF(AND(AF$10&gt;=$E40,AF$10&lt;=$F40),"■","")</x:f>
        <x:v>■</x:v>
      </x:c>
      <x:c r="AG40" s="76" t="str">
        <x:f>IF(AND(AG$10&gt;=$E40,AG$10&lt;=$F40),"■","")</x:f>
        <x:v>■</x:v>
      </x:c>
      <x:c r="AH40" s="76" t="str">
        <x:f>IF(AND(AH$10&gt;=$E40,AH$10&lt;=$F40),"■","")</x:f>
        <x:v>■</x:v>
      </x:c>
      <x:c r="AI40" s="76" t="str">
        <x:f>IF(AND(AI$10&gt;=$E40,AI$10&lt;=$F40),"■","")</x:f>
        <x:v>■</x:v>
      </x:c>
      <x:c r="AJ40" s="76" t="str">
        <x:f>IF(AND(AJ$10&gt;=$E40,AJ$10&lt;=$F40),"■","")</x:f>
        <x:v>■</x:v>
      </x:c>
      <x:c r="AK40" s="76" t="str">
        <x:f>IF(AND(AK$10&gt;=$E40,AK$10&lt;=$F40),"■","")</x:f>
        <x:v>■</x:v>
      </x:c>
      <x:c r="AL40" s="76" t="str">
        <x:f>IF(AND(AL$10&gt;=$E40,AL$10&lt;=$F40),"■","")</x:f>
        <x:v>■</x:v>
      </x:c>
      <x:c r="AM40" s="76" t="str">
        <x:f>IF(AND(AM$10&gt;=$E40,AM$10&lt;=$F40),"■","")</x:f>
        <x:v>■</x:v>
      </x:c>
      <x:c r="AN40" s="76" t="str">
        <x:f>IF(AND(AN$10&gt;=$E40,AN$10&lt;=$F40),"■","")</x:f>
        <x:v>■</x:v>
      </x:c>
    </x:row>
    <x:row r="41" ht="38" customHeight="1">
      <x:c r="A41" s="86" t="n">
        <x:v>31</x:v>
      </x:c>
      <x:c r="B41" s="86" t="str">
        <x:v>秋季口味蛋糕及切块上线</x:v>
      </x:c>
      <x:c r="C41" s="86" t="str">
        <x:v>外卖</x:v>
      </x:c>
      <x:c r="D41" s="86" t="str">
        <x:v>点金常规投放与关键词优化</x:v>
      </x:c>
      <x:c r="E41" s="87" t="n">
        <x:v>46313</x:v>
      </x:c>
      <x:c r="F41" s="87" t="n">
        <x:v>46325</x:v>
      </x:c>
      <x:c r="G41" s="88" t="n">
        <x:f>F41-E41+1</x:f>
        <x:v>13</x:v>
      </x:c>
      <x:c r="H41" s="86" t="str">
        <x:v>按曝光、进店、下单和单均获客成本调词调预算</x:v>
      </x:c>
      <x:c r="I41" s="86" t="str"/>
      <x:c r="J41" s="76" t="str">
        <x:f>IF(AND(J$10&gt;=$E41,J$10&lt;=$F41),"■","")</x:f>
      </x:c>
      <x:c r="K41" s="76" t="str">
        <x:f>IF(AND(K$10&gt;=$E41,K$10&lt;=$F41),"■","")</x:f>
      </x:c>
      <x:c r="L41" s="76" t="str">
        <x:f>IF(AND(L$10&gt;=$E41,L$10&lt;=$F41),"■","")</x:f>
      </x:c>
      <x:c r="M41" s="76" t="str">
        <x:f>IF(AND(M$10&gt;=$E41,M$10&lt;=$F41),"■","")</x:f>
      </x:c>
      <x:c r="N41" s="76" t="str">
        <x:f>IF(AND(N$10&gt;=$E41,N$10&lt;=$F41),"■","")</x:f>
      </x:c>
      <x:c r="O41" s="76" t="str">
        <x:f>IF(AND(O$10&gt;=$E41,O$10&lt;=$F41),"■","")</x:f>
      </x:c>
      <x:c r="P41" s="76" t="str">
        <x:f>IF(AND(P$10&gt;=$E41,P$10&lt;=$F41),"■","")</x:f>
      </x:c>
      <x:c r="Q41" s="76" t="str">
        <x:f>IF(AND(Q$10&gt;=$E41,Q$10&lt;=$F41),"■","")</x:f>
      </x:c>
      <x:c r="R41" s="76" t="str">
        <x:f>IF(AND(R$10&gt;=$E41,R$10&lt;=$F41),"■","")</x:f>
      </x:c>
      <x:c r="S41" s="76" t="str">
        <x:f>IF(AND(S$10&gt;=$E41,S$10&lt;=$F41),"■","")</x:f>
      </x:c>
      <x:c r="T41" s="76" t="str">
        <x:f>IF(AND(T$10&gt;=$E41,T$10&lt;=$F41),"■","")</x:f>
      </x:c>
      <x:c r="U41" s="76" t="str">
        <x:f>IF(AND(U$10&gt;=$E41,U$10&lt;=$F41),"■","")</x:f>
      </x:c>
      <x:c r="V41" s="76" t="str">
        <x:f>IF(AND(V$10&gt;=$E41,V$10&lt;=$F41),"■","")</x:f>
      </x:c>
      <x:c r="W41" s="76" t="str">
        <x:f>IF(AND(W$10&gt;=$E41,W$10&lt;=$F41),"■","")</x:f>
      </x:c>
      <x:c r="X41" s="76" t="str">
        <x:f>IF(AND(X$10&gt;=$E41,X$10&lt;=$F41),"■","")</x:f>
      </x:c>
      <x:c r="Y41" s="76" t="str">
        <x:f>IF(AND(Y$10&gt;=$E41,Y$10&lt;=$F41),"■","")</x:f>
      </x:c>
      <x:c r="Z41" s="76" t="str">
        <x:f>IF(AND(Z$10&gt;=$E41,Z$10&lt;=$F41),"■","")</x:f>
      </x:c>
      <x:c r="AA41" s="76" t="str">
        <x:f>IF(AND(AA$10&gt;=$E41,AA$10&lt;=$F41),"■","")</x:f>
        <x:v>■</x:v>
      </x:c>
      <x:c r="AB41" s="76" t="str">
        <x:f>IF(AND(AB$10&gt;=$E41,AB$10&lt;=$F41),"■","")</x:f>
        <x:v>■</x:v>
      </x:c>
      <x:c r="AC41" s="76" t="str">
        <x:f>IF(AND(AC$10&gt;=$E41,AC$10&lt;=$F41),"■","")</x:f>
        <x:v>■</x:v>
      </x:c>
      <x:c r="AD41" s="76" t="str">
        <x:f>IF(AND(AD$10&gt;=$E41,AD$10&lt;=$F41),"■","")</x:f>
        <x:v>■</x:v>
      </x:c>
      <x:c r="AE41" s="76" t="str">
        <x:f>IF(AND(AE$10&gt;=$E41,AE$10&lt;=$F41),"■","")</x:f>
        <x:v>■</x:v>
      </x:c>
      <x:c r="AF41" s="76" t="str">
        <x:f>IF(AND(AF$10&gt;=$E41,AF$10&lt;=$F41),"■","")</x:f>
        <x:v>■</x:v>
      </x:c>
      <x:c r="AG41" s="76" t="str">
        <x:f>IF(AND(AG$10&gt;=$E41,AG$10&lt;=$F41),"■","")</x:f>
        <x:v>■</x:v>
      </x:c>
      <x:c r="AH41" s="76" t="str">
        <x:f>IF(AND(AH$10&gt;=$E41,AH$10&lt;=$F41),"■","")</x:f>
        <x:v>■</x:v>
      </x:c>
      <x:c r="AI41" s="76" t="str">
        <x:f>IF(AND(AI$10&gt;=$E41,AI$10&lt;=$F41),"■","")</x:f>
        <x:v>■</x:v>
      </x:c>
      <x:c r="AJ41" s="76" t="str">
        <x:f>IF(AND(AJ$10&gt;=$E41,AJ$10&lt;=$F41),"■","")</x:f>
        <x:v>■</x:v>
      </x:c>
      <x:c r="AK41" s="76" t="str">
        <x:f>IF(AND(AK$10&gt;=$E41,AK$10&lt;=$F41),"■","")</x:f>
        <x:v>■</x:v>
      </x:c>
      <x:c r="AL41" s="76" t="str">
        <x:f>IF(AND(AL$10&gt;=$E41,AL$10&lt;=$F41),"■","")</x:f>
        <x:v>■</x:v>
      </x:c>
      <x:c r="AM41" s="76" t="str">
        <x:f>IF(AND(AM$10&gt;=$E41,AM$10&lt;=$F41),"■","")</x:f>
        <x:v>■</x:v>
      </x:c>
      <x:c r="AN41" s="76" t="str">
        <x:f>IF(AND(AN$10&gt;=$E41,AN$10&lt;=$F41),"■","")</x:f>
      </x:c>
    </x:row>
    <x:row r="42" ht="38" customHeight="1">
      <x:c r="A42" s="86" t="n">
        <x:v>32</x:v>
      </x:c>
      <x:c r="B42" s="86" t="str">
        <x:v>上月新客一转二</x:v>
      </x:c>
      <x:c r="C42" s="86" t="str">
        <x:v>私域</x:v>
      </x:c>
      <x:c r="D42" s="86" t="str">
        <x:v>9 月新客一转二名单整理</x:v>
      </x:c>
      <x:c r="E42" s="87" t="n">
        <x:v>46303</x:v>
      </x:c>
      <x:c r="F42" s="87" t="n">
        <x:v>46306</x:v>
      </x:c>
      <x:c r="G42" s="88" t="n">
        <x:f>F42-E42+1</x:f>
        <x:v>4</x:v>
      </x:c>
      <x:c r="H42" s="86" t="str">
        <x:v>按中秋、教师节、口味新品、流量品和来源形成名单</x:v>
      </x:c>
      <x:c r="I42" s="86" t="str"/>
      <x:c r="J42" s="76" t="str">
        <x:f>IF(AND(J$10&gt;=$E42,J$10&lt;=$F42),"■","")</x:f>
      </x:c>
      <x:c r="K42" s="76" t="str">
        <x:f>IF(AND(K$10&gt;=$E42,K$10&lt;=$F42),"■","")</x:f>
      </x:c>
      <x:c r="L42" s="76" t="str">
        <x:f>IF(AND(L$10&gt;=$E42,L$10&lt;=$F42),"■","")</x:f>
      </x:c>
      <x:c r="M42" s="76" t="str">
        <x:f>IF(AND(M$10&gt;=$E42,M$10&lt;=$F42),"■","")</x:f>
      </x:c>
      <x:c r="N42" s="76" t="str">
        <x:f>IF(AND(N$10&gt;=$E42,N$10&lt;=$F42),"■","")</x:f>
      </x:c>
      <x:c r="O42" s="76" t="str">
        <x:f>IF(AND(O$10&gt;=$E42,O$10&lt;=$F42),"■","")</x:f>
      </x:c>
      <x:c r="P42" s="76" t="str">
        <x:f>IF(AND(P$10&gt;=$E42,P$10&lt;=$F42),"■","")</x:f>
      </x:c>
      <x:c r="Q42" s="76" t="str">
        <x:f>IF(AND(Q$10&gt;=$E42,Q$10&lt;=$F42),"■","")</x:f>
        <x:v>■</x:v>
      </x:c>
      <x:c r="R42" s="76" t="str">
        <x:f>IF(AND(R$10&gt;=$E42,R$10&lt;=$F42),"■","")</x:f>
        <x:v>■</x:v>
      </x:c>
      <x:c r="S42" s="76" t="str">
        <x:f>IF(AND(S$10&gt;=$E42,S$10&lt;=$F42),"■","")</x:f>
        <x:v>■</x:v>
      </x:c>
      <x:c r="T42" s="76" t="str">
        <x:f>IF(AND(T$10&gt;=$E42,T$10&lt;=$F42),"■","")</x:f>
        <x:v>■</x:v>
      </x:c>
      <x:c r="U42" s="76" t="str">
        <x:f>IF(AND(U$10&gt;=$E42,U$10&lt;=$F42),"■","")</x:f>
      </x:c>
      <x:c r="V42" s="76" t="str">
        <x:f>IF(AND(V$10&gt;=$E42,V$10&lt;=$F42),"■","")</x:f>
      </x:c>
      <x:c r="W42" s="76" t="str">
        <x:f>IF(AND(W$10&gt;=$E42,W$10&lt;=$F42),"■","")</x:f>
      </x:c>
      <x:c r="X42" s="76" t="str">
        <x:f>IF(AND(X$10&gt;=$E42,X$10&lt;=$F42),"■","")</x:f>
      </x:c>
      <x:c r="Y42" s="76" t="str">
        <x:f>IF(AND(Y$10&gt;=$E42,Y$10&lt;=$F42),"■","")</x:f>
      </x:c>
      <x:c r="Z42" s="76" t="str">
        <x:f>IF(AND(Z$10&gt;=$E42,Z$10&lt;=$F42),"■","")</x:f>
      </x:c>
      <x:c r="AA42" s="76" t="str">
        <x:f>IF(AND(AA$10&gt;=$E42,AA$10&lt;=$F42),"■","")</x:f>
      </x:c>
      <x:c r="AB42" s="76" t="str">
        <x:f>IF(AND(AB$10&gt;=$E42,AB$10&lt;=$F42),"■","")</x:f>
      </x:c>
      <x:c r="AC42" s="76" t="str">
        <x:f>IF(AND(AC$10&gt;=$E42,AC$10&lt;=$F42),"■","")</x:f>
      </x:c>
      <x:c r="AD42" s="76" t="str">
        <x:f>IF(AND(AD$10&gt;=$E42,AD$10&lt;=$F42),"■","")</x:f>
      </x:c>
      <x:c r="AE42" s="76" t="str">
        <x:f>IF(AND(AE$10&gt;=$E42,AE$10&lt;=$F42),"■","")</x:f>
      </x:c>
      <x:c r="AF42" s="76" t="str">
        <x:f>IF(AND(AF$10&gt;=$E42,AF$10&lt;=$F42),"■","")</x:f>
      </x:c>
      <x:c r="AG42" s="76" t="str">
        <x:f>IF(AND(AG$10&gt;=$E42,AG$10&lt;=$F42),"■","")</x:f>
      </x:c>
      <x:c r="AH42" s="76" t="str">
        <x:f>IF(AND(AH$10&gt;=$E42,AH$10&lt;=$F42),"■","")</x:f>
      </x:c>
      <x:c r="AI42" s="76" t="str">
        <x:f>IF(AND(AI$10&gt;=$E42,AI$10&lt;=$F42),"■","")</x:f>
      </x:c>
      <x:c r="AJ42" s="76" t="str">
        <x:f>IF(AND(AJ$10&gt;=$E42,AJ$10&lt;=$F42),"■","")</x:f>
      </x:c>
      <x:c r="AK42" s="76" t="str">
        <x:f>IF(AND(AK$10&gt;=$E42,AK$10&lt;=$F42),"■","")</x:f>
      </x:c>
      <x:c r="AL42" s="76" t="str">
        <x:f>IF(AND(AL$10&gt;=$E42,AL$10&lt;=$F42),"■","")</x:f>
      </x:c>
      <x:c r="AM42" s="76" t="str">
        <x:f>IF(AND(AM$10&gt;=$E42,AM$10&lt;=$F42),"■","")</x:f>
      </x:c>
      <x:c r="AN42" s="76" t="str">
        <x:f>IF(AND(AN$10&gt;=$E42,AN$10&lt;=$F42),"■","")</x:f>
      </x:c>
    </x:row>
    <x:row r="43" ht="38" customHeight="1">
      <x:c r="A43" s="86" t="n">
        <x:v>33</x:v>
      </x:c>
      <x:c r="B43" s="86" t="str">
        <x:v>上月新客一转二</x:v>
      </x:c>
      <x:c r="C43" s="86" t="str">
        <x:v>私域</x:v>
      </x:c>
      <x:c r="D43" s="86" t="str">
        <x:v>9 月新客一转二批次触达</x:v>
      </x:c>
      <x:c r="E43" s="87" t="n">
        <x:v>46307</x:v>
      </x:c>
      <x:c r="F43" s="87" t="n">
        <x:v>46311</x:v>
      </x:c>
      <x:c r="G43" s="88" t="n">
        <x:f>F43-E43+1</x:f>
        <x:v>5</x:v>
      </x:c>
      <x:c r="H43" s="86" t="str">
        <x:v>单月一次触达，回复、成交和二购产品可追踪</x:v>
      </x:c>
      <x:c r="I43" s="86" t="str"/>
      <x:c r="J43" s="76" t="str">
        <x:f>IF(AND(J$10&gt;=$E43,J$10&lt;=$F43),"■","")</x:f>
      </x:c>
      <x:c r="K43" s="76" t="str">
        <x:f>IF(AND(K$10&gt;=$E43,K$10&lt;=$F43),"■","")</x:f>
      </x:c>
      <x:c r="L43" s="76" t="str">
        <x:f>IF(AND(L$10&gt;=$E43,L$10&lt;=$F43),"■","")</x:f>
      </x:c>
      <x:c r="M43" s="76" t="str">
        <x:f>IF(AND(M$10&gt;=$E43,M$10&lt;=$F43),"■","")</x:f>
      </x:c>
      <x:c r="N43" s="76" t="str">
        <x:f>IF(AND(N$10&gt;=$E43,N$10&lt;=$F43),"■","")</x:f>
      </x:c>
      <x:c r="O43" s="76" t="str">
        <x:f>IF(AND(O$10&gt;=$E43,O$10&lt;=$F43),"■","")</x:f>
      </x:c>
      <x:c r="P43" s="76" t="str">
        <x:f>IF(AND(P$10&gt;=$E43,P$10&lt;=$F43),"■","")</x:f>
      </x:c>
      <x:c r="Q43" s="76" t="str">
        <x:f>IF(AND(Q$10&gt;=$E43,Q$10&lt;=$F43),"■","")</x:f>
      </x:c>
      <x:c r="R43" s="76" t="str">
        <x:f>IF(AND(R$10&gt;=$E43,R$10&lt;=$F43),"■","")</x:f>
      </x:c>
      <x:c r="S43" s="76" t="str">
        <x:f>IF(AND(S$10&gt;=$E43,S$10&lt;=$F43),"■","")</x:f>
      </x:c>
      <x:c r="T43" s="76" t="str">
        <x:f>IF(AND(T$10&gt;=$E43,T$10&lt;=$F43),"■","")</x:f>
      </x:c>
      <x:c r="U43" s="76" t="str">
        <x:f>IF(AND(U$10&gt;=$E43,U$10&lt;=$F43),"■","")</x:f>
        <x:v>■</x:v>
      </x:c>
      <x:c r="V43" s="76" t="str">
        <x:f>IF(AND(V$10&gt;=$E43,V$10&lt;=$F43),"■","")</x:f>
        <x:v>■</x:v>
      </x:c>
      <x:c r="W43" s="76" t="str">
        <x:f>IF(AND(W$10&gt;=$E43,W$10&lt;=$F43),"■","")</x:f>
        <x:v>■</x:v>
      </x:c>
      <x:c r="X43" s="76" t="str">
        <x:f>IF(AND(X$10&gt;=$E43,X$10&lt;=$F43),"■","")</x:f>
        <x:v>■</x:v>
      </x:c>
      <x:c r="Y43" s="76" t="str">
        <x:f>IF(AND(Y$10&gt;=$E43,Y$10&lt;=$F43),"■","")</x:f>
        <x:v>■</x:v>
      </x:c>
      <x:c r="Z43" s="76" t="str">
        <x:f>IF(AND(Z$10&gt;=$E43,Z$10&lt;=$F43),"■","")</x:f>
      </x:c>
      <x:c r="AA43" s="76" t="str">
        <x:f>IF(AND(AA$10&gt;=$E43,AA$10&lt;=$F43),"■","")</x:f>
      </x:c>
      <x:c r="AB43" s="76" t="str">
        <x:f>IF(AND(AB$10&gt;=$E43,AB$10&lt;=$F43),"■","")</x:f>
      </x:c>
      <x:c r="AC43" s="76" t="str">
        <x:f>IF(AND(AC$10&gt;=$E43,AC$10&lt;=$F43),"■","")</x:f>
      </x:c>
      <x:c r="AD43" s="76" t="str">
        <x:f>IF(AND(AD$10&gt;=$E43,AD$10&lt;=$F43),"■","")</x:f>
      </x:c>
      <x:c r="AE43" s="76" t="str">
        <x:f>IF(AND(AE$10&gt;=$E43,AE$10&lt;=$F43),"■","")</x:f>
      </x:c>
      <x:c r="AF43" s="76" t="str">
        <x:f>IF(AND(AF$10&gt;=$E43,AF$10&lt;=$F43),"■","")</x:f>
      </x:c>
      <x:c r="AG43" s="76" t="str">
        <x:f>IF(AND(AG$10&gt;=$E43,AG$10&lt;=$F43),"■","")</x:f>
      </x:c>
      <x:c r="AH43" s="76" t="str">
        <x:f>IF(AND(AH$10&gt;=$E43,AH$10&lt;=$F43),"■","")</x:f>
      </x:c>
      <x:c r="AI43" s="76" t="str">
        <x:f>IF(AND(AI$10&gt;=$E43,AI$10&lt;=$F43),"■","")</x:f>
      </x:c>
      <x:c r="AJ43" s="76" t="str">
        <x:f>IF(AND(AJ$10&gt;=$E43,AJ$10&lt;=$F43),"■","")</x:f>
      </x:c>
      <x:c r="AK43" s="76" t="str">
        <x:f>IF(AND(AK$10&gt;=$E43,AK$10&lt;=$F43),"■","")</x:f>
      </x:c>
      <x:c r="AL43" s="76" t="str">
        <x:f>IF(AND(AL$10&gt;=$E43,AL$10&lt;=$F43),"■","")</x:f>
      </x:c>
      <x:c r="AM43" s="76" t="str">
        <x:f>IF(AND(AM$10&gt;=$E43,AM$10&lt;=$F43),"■","")</x:f>
      </x:c>
      <x:c r="AN43" s="76" t="str">
        <x:f>IF(AND(AN$10&gt;=$E43,AN$10&lt;=$F43),"■","")</x:f>
      </x:c>
    </x:row>
    <x:row r="44" ht="38" customHeight="1">
      <x:c r="A44" s="86" t="n">
        <x:v>34</x:v>
      </x:c>
      <x:c r="B44" s="86" t="str">
        <x:v>上月新客一转二</x:v>
      </x:c>
      <x:c r="C44" s="86" t="str">
        <x:v>数据</x:v>
      </x:c>
      <x:c r="D44" s="86" t="str">
        <x:v>一转二结果与渠道质量复盘</x:v>
      </x:c>
      <x:c r="E44" s="87" t="n">
        <x:v>46323</x:v>
      </x:c>
      <x:c r="F44" s="87" t="n">
        <x:v>46326</x:v>
      </x:c>
      <x:c r="G44" s="88" t="n">
        <x:f>F44-E44+1</x:f>
        <x:v>4</x:v>
      </x:c>
      <x:c r="H44" s="86" t="str">
        <x:v>按渠道比较新增、首购、一转二和收入，形成 11 月预算结论</x:v>
      </x:c>
      <x:c r="I44" s="86" t="str"/>
      <x:c r="J44" s="76" t="str">
        <x:f>IF(AND(J$10&gt;=$E44,J$10&lt;=$F44),"■","")</x:f>
      </x:c>
      <x:c r="K44" s="76" t="str">
        <x:f>IF(AND(K$10&gt;=$E44,K$10&lt;=$F44),"■","")</x:f>
      </x:c>
      <x:c r="L44" s="76" t="str">
        <x:f>IF(AND(L$10&gt;=$E44,L$10&lt;=$F44),"■","")</x:f>
      </x:c>
      <x:c r="M44" s="76" t="str">
        <x:f>IF(AND(M$10&gt;=$E44,M$10&lt;=$F44),"■","")</x:f>
      </x:c>
      <x:c r="N44" s="76" t="str">
        <x:f>IF(AND(N$10&gt;=$E44,N$10&lt;=$F44),"■","")</x:f>
      </x:c>
      <x:c r="O44" s="76" t="str">
        <x:f>IF(AND(O$10&gt;=$E44,O$10&lt;=$F44),"■","")</x:f>
      </x:c>
      <x:c r="P44" s="76" t="str">
        <x:f>IF(AND(P$10&gt;=$E44,P$10&lt;=$F44),"■","")</x:f>
      </x:c>
      <x:c r="Q44" s="76" t="str">
        <x:f>IF(AND(Q$10&gt;=$E44,Q$10&lt;=$F44),"■","")</x:f>
      </x:c>
      <x:c r="R44" s="76" t="str">
        <x:f>IF(AND(R$10&gt;=$E44,R$10&lt;=$F44),"■","")</x:f>
      </x:c>
      <x:c r="S44" s="76" t="str">
        <x:f>IF(AND(S$10&gt;=$E44,S$10&lt;=$F44),"■","")</x:f>
      </x:c>
      <x:c r="T44" s="76" t="str">
        <x:f>IF(AND(T$10&gt;=$E44,T$10&lt;=$F44),"■","")</x:f>
      </x:c>
      <x:c r="U44" s="76" t="str">
        <x:f>IF(AND(U$10&gt;=$E44,U$10&lt;=$F44),"■","")</x:f>
      </x:c>
      <x:c r="V44" s="76" t="str">
        <x:f>IF(AND(V$10&gt;=$E44,V$10&lt;=$F44),"■","")</x:f>
      </x:c>
      <x:c r="W44" s="76" t="str">
        <x:f>IF(AND(W$10&gt;=$E44,W$10&lt;=$F44),"■","")</x:f>
      </x:c>
      <x:c r="X44" s="76" t="str">
        <x:f>IF(AND(X$10&gt;=$E44,X$10&lt;=$F44),"■","")</x:f>
      </x:c>
      <x:c r="Y44" s="76" t="str">
        <x:f>IF(AND(Y$10&gt;=$E44,Y$10&lt;=$F44),"■","")</x:f>
      </x:c>
      <x:c r="Z44" s="76" t="str">
        <x:f>IF(AND(Z$10&gt;=$E44,Z$10&lt;=$F44),"■","")</x:f>
      </x:c>
      <x:c r="AA44" s="76" t="str">
        <x:f>IF(AND(AA$10&gt;=$E44,AA$10&lt;=$F44),"■","")</x:f>
      </x:c>
      <x:c r="AB44" s="76" t="str">
        <x:f>IF(AND(AB$10&gt;=$E44,AB$10&lt;=$F44),"■","")</x:f>
      </x:c>
      <x:c r="AC44" s="76" t="str">
        <x:f>IF(AND(AC$10&gt;=$E44,AC$10&lt;=$F44),"■","")</x:f>
      </x:c>
      <x:c r="AD44" s="76" t="str">
        <x:f>IF(AND(AD$10&gt;=$E44,AD$10&lt;=$F44),"■","")</x:f>
      </x:c>
      <x:c r="AE44" s="76" t="str">
        <x:f>IF(AND(AE$10&gt;=$E44,AE$10&lt;=$F44),"■","")</x:f>
      </x:c>
      <x:c r="AF44" s="76" t="str">
        <x:f>IF(AND(AF$10&gt;=$E44,AF$10&lt;=$F44),"■","")</x:f>
      </x:c>
      <x:c r="AG44" s="76" t="str">
        <x:f>IF(AND(AG$10&gt;=$E44,AG$10&lt;=$F44),"■","")</x:f>
      </x:c>
      <x:c r="AH44" s="76" t="str">
        <x:f>IF(AND(AH$10&gt;=$E44,AH$10&lt;=$F44),"■","")</x:f>
      </x:c>
      <x:c r="AI44" s="76" t="str">
        <x:f>IF(AND(AI$10&gt;=$E44,AI$10&lt;=$F44),"■","")</x:f>
      </x:c>
      <x:c r="AJ44" s="76" t="str">
        <x:f>IF(AND(AJ$10&gt;=$E44,AJ$10&lt;=$F44),"■","")</x:f>
      </x:c>
      <x:c r="AK44" s="76" t="str">
        <x:f>IF(AND(AK$10&gt;=$E44,AK$10&lt;=$F44),"■","")</x:f>
        <x:v>■</x:v>
      </x:c>
      <x:c r="AL44" s="76" t="str">
        <x:f>IF(AND(AL$10&gt;=$E44,AL$10&lt;=$F44),"■","")</x:f>
        <x:v>■</x:v>
      </x:c>
      <x:c r="AM44" s="76" t="str">
        <x:f>IF(AND(AM$10&gt;=$E44,AM$10&lt;=$F44),"■","")</x:f>
        <x:v>■</x:v>
      </x:c>
      <x:c r="AN44" s="76" t="str">
        <x:f>IF(AND(AN$10&gt;=$E44,AN$10&lt;=$F44),"■","")</x:f>
        <x:v>■</x:v>
      </x:c>
    </x:row>
    <x:row r="45" ht="38" customHeight="1">
      <x:c r="A45" s="86" t="n">
        <x:v>35</x:v>
      </x:c>
      <x:c r="B45" s="86" t="str">
        <x:v>会员长期运营</x:v>
      </x:c>
      <x:c r="C45" s="86" t="str">
        <x:v>私域</x:v>
      </x:c>
      <x:c r="D45" s="86" t="str">
        <x:v>当月生日用户 1v1 触达</x:v>
      </x:c>
      <x:c r="E45" s="87" t="n">
        <x:v>46296</x:v>
      </x:c>
      <x:c r="F45" s="87" t="n">
        <x:v>46300</x:v>
      </x:c>
      <x:c r="G45" s="88" t="n">
        <x:f>F45-E45+1</x:f>
        <x:v>5</x:v>
      </x:c>
      <x:c r="H45" s="86" t="str">
        <x:v>生日提醒、回复、预约和成交数据完整</x:v>
      </x:c>
      <x:c r="I45" s="86" t="str"/>
      <x:c r="J45" s="76" t="str">
        <x:f>IF(AND(J$10&gt;=$E45,J$10&lt;=$F45),"■","")</x:f>
        <x:v>■</x:v>
      </x:c>
      <x:c r="K45" s="76" t="str">
        <x:f>IF(AND(K$10&gt;=$E45,K$10&lt;=$F45),"■","")</x:f>
        <x:v>■</x:v>
      </x:c>
      <x:c r="L45" s="76" t="str">
        <x:f>IF(AND(L$10&gt;=$E45,L$10&lt;=$F45),"■","")</x:f>
        <x:v>■</x:v>
      </x:c>
      <x:c r="M45" s="76" t="str">
        <x:f>IF(AND(M$10&gt;=$E45,M$10&lt;=$F45),"■","")</x:f>
        <x:v>■</x:v>
      </x:c>
      <x:c r="N45" s="76" t="str">
        <x:f>IF(AND(N$10&gt;=$E45,N$10&lt;=$F45),"■","")</x:f>
        <x:v>■</x:v>
      </x:c>
      <x:c r="O45" s="76" t="str">
        <x:f>IF(AND(O$10&gt;=$E45,O$10&lt;=$F45),"■","")</x:f>
      </x:c>
      <x:c r="P45" s="76" t="str">
        <x:f>IF(AND(P$10&gt;=$E45,P$10&lt;=$F45),"■","")</x:f>
      </x:c>
      <x:c r="Q45" s="76" t="str">
        <x:f>IF(AND(Q$10&gt;=$E45,Q$10&lt;=$F45),"■","")</x:f>
      </x:c>
      <x:c r="R45" s="76" t="str">
        <x:f>IF(AND(R$10&gt;=$E45,R$10&lt;=$F45),"■","")</x:f>
      </x:c>
      <x:c r="S45" s="76" t="str">
        <x:f>IF(AND(S$10&gt;=$E45,S$10&lt;=$F45),"■","")</x:f>
      </x:c>
      <x:c r="T45" s="76" t="str">
        <x:f>IF(AND(T$10&gt;=$E45,T$10&lt;=$F45),"■","")</x:f>
      </x:c>
      <x:c r="U45" s="76" t="str">
        <x:f>IF(AND(U$10&gt;=$E45,U$10&lt;=$F45),"■","")</x:f>
      </x:c>
      <x:c r="V45" s="76" t="str">
        <x:f>IF(AND(V$10&gt;=$E45,V$10&lt;=$F45),"■","")</x:f>
      </x:c>
      <x:c r="W45" s="76" t="str">
        <x:f>IF(AND(W$10&gt;=$E45,W$10&lt;=$F45),"■","")</x:f>
      </x:c>
      <x:c r="X45" s="76" t="str">
        <x:f>IF(AND(X$10&gt;=$E45,X$10&lt;=$F45),"■","")</x:f>
      </x:c>
      <x:c r="Y45" s="76" t="str">
        <x:f>IF(AND(Y$10&gt;=$E45,Y$10&lt;=$F45),"■","")</x:f>
      </x:c>
      <x:c r="Z45" s="76" t="str">
        <x:f>IF(AND(Z$10&gt;=$E45,Z$10&lt;=$F45),"■","")</x:f>
      </x:c>
      <x:c r="AA45" s="76" t="str">
        <x:f>IF(AND(AA$10&gt;=$E45,AA$10&lt;=$F45),"■","")</x:f>
      </x:c>
      <x:c r="AB45" s="76" t="str">
        <x:f>IF(AND(AB$10&gt;=$E45,AB$10&lt;=$F45),"■","")</x:f>
      </x:c>
      <x:c r="AC45" s="76" t="str">
        <x:f>IF(AND(AC$10&gt;=$E45,AC$10&lt;=$F45),"■","")</x:f>
      </x:c>
      <x:c r="AD45" s="76" t="str">
        <x:f>IF(AND(AD$10&gt;=$E45,AD$10&lt;=$F45),"■","")</x:f>
      </x:c>
      <x:c r="AE45" s="76" t="str">
        <x:f>IF(AND(AE$10&gt;=$E45,AE$10&lt;=$F45),"■","")</x:f>
      </x:c>
      <x:c r="AF45" s="76" t="str">
        <x:f>IF(AND(AF$10&gt;=$E45,AF$10&lt;=$F45),"■","")</x:f>
      </x:c>
      <x:c r="AG45" s="76" t="str">
        <x:f>IF(AND(AG$10&gt;=$E45,AG$10&lt;=$F45),"■","")</x:f>
      </x:c>
      <x:c r="AH45" s="76" t="str">
        <x:f>IF(AND(AH$10&gt;=$E45,AH$10&lt;=$F45),"■","")</x:f>
      </x:c>
      <x:c r="AI45" s="76" t="str">
        <x:f>IF(AND(AI$10&gt;=$E45,AI$10&lt;=$F45),"■","")</x:f>
      </x:c>
      <x:c r="AJ45" s="76" t="str">
        <x:f>IF(AND(AJ$10&gt;=$E45,AJ$10&lt;=$F45),"■","")</x:f>
      </x:c>
      <x:c r="AK45" s="76" t="str">
        <x:f>IF(AND(AK$10&gt;=$E45,AK$10&lt;=$F45),"■","")</x:f>
      </x:c>
      <x:c r="AL45" s="76" t="str">
        <x:f>IF(AND(AL$10&gt;=$E45,AL$10&lt;=$F45),"■","")</x:f>
      </x:c>
      <x:c r="AM45" s="76" t="str">
        <x:f>IF(AND(AM$10&gt;=$E45,AM$10&lt;=$F45),"■","")</x:f>
      </x:c>
      <x:c r="AN45" s="76" t="str">
        <x:f>IF(AND(AN$10&gt;=$E45,AN$10&lt;=$F45),"■","")</x:f>
      </x:c>
    </x:row>
    <x:row r="46" ht="38" customHeight="1">
      <x:c r="A46" s="86" t="n">
        <x:v>36</x:v>
      </x:c>
      <x:c r="B46" s="86" t="str">
        <x:v>万圣节主题产品与线下打卡</x:v>
      </x:c>
      <x:c r="C46" s="86" t="str">
        <x:v>产品</x:v>
      </x:c>
      <x:c r="D46" s="86" t="str">
        <x:v>主题甜品、饮品与套餐定盘</x:v>
      </x:c>
      <x:c r="E46" s="87" t="n">
        <x:v>46313</x:v>
      </x:c>
      <x:c r="F46" s="87" t="n">
        <x:v>46316</x:v>
      </x:c>
      <x:c r="G46" s="88" t="n">
        <x:f>F46-E46+1</x:f>
        <x:v>4</x:v>
      </x:c>
      <x:c r="H46" s="86" t="str">
        <x:v>至少一款适合拍照和打卡的甜品或套餐通过</x:v>
      </x:c>
      <x:c r="I46" s="86" t="str"/>
      <x:c r="J46" s="76" t="str">
        <x:f>IF(AND(J$10&gt;=$E46,J$10&lt;=$F46),"■","")</x:f>
      </x:c>
      <x:c r="K46" s="76" t="str">
        <x:f>IF(AND(K$10&gt;=$E46,K$10&lt;=$F46),"■","")</x:f>
      </x:c>
      <x:c r="L46" s="76" t="str">
        <x:f>IF(AND(L$10&gt;=$E46,L$10&lt;=$F46),"■","")</x:f>
      </x:c>
      <x:c r="M46" s="76" t="str">
        <x:f>IF(AND(M$10&gt;=$E46,M$10&lt;=$F46),"■","")</x:f>
      </x:c>
      <x:c r="N46" s="76" t="str">
        <x:f>IF(AND(N$10&gt;=$E46,N$10&lt;=$F46),"■","")</x:f>
      </x:c>
      <x:c r="O46" s="76" t="str">
        <x:f>IF(AND(O$10&gt;=$E46,O$10&lt;=$F46),"■","")</x:f>
      </x:c>
      <x:c r="P46" s="76" t="str">
        <x:f>IF(AND(P$10&gt;=$E46,P$10&lt;=$F46),"■","")</x:f>
      </x:c>
      <x:c r="Q46" s="76" t="str">
        <x:f>IF(AND(Q$10&gt;=$E46,Q$10&lt;=$F46),"■","")</x:f>
      </x:c>
      <x:c r="R46" s="76" t="str">
        <x:f>IF(AND(R$10&gt;=$E46,R$10&lt;=$F46),"■","")</x:f>
      </x:c>
      <x:c r="S46" s="76" t="str">
        <x:f>IF(AND(S$10&gt;=$E46,S$10&lt;=$F46),"■","")</x:f>
      </x:c>
      <x:c r="T46" s="76" t="str">
        <x:f>IF(AND(T$10&gt;=$E46,T$10&lt;=$F46),"■","")</x:f>
      </x:c>
      <x:c r="U46" s="76" t="str">
        <x:f>IF(AND(U$10&gt;=$E46,U$10&lt;=$F46),"■","")</x:f>
      </x:c>
      <x:c r="V46" s="76" t="str">
        <x:f>IF(AND(V$10&gt;=$E46,V$10&lt;=$F46),"■","")</x:f>
      </x:c>
      <x:c r="W46" s="76" t="str">
        <x:f>IF(AND(W$10&gt;=$E46,W$10&lt;=$F46),"■","")</x:f>
      </x:c>
      <x:c r="X46" s="76" t="str">
        <x:f>IF(AND(X$10&gt;=$E46,X$10&lt;=$F46),"■","")</x:f>
      </x:c>
      <x:c r="Y46" s="76" t="str">
        <x:f>IF(AND(Y$10&gt;=$E46,Y$10&lt;=$F46),"■","")</x:f>
      </x:c>
      <x:c r="Z46" s="76" t="str">
        <x:f>IF(AND(Z$10&gt;=$E46,Z$10&lt;=$F46),"■","")</x:f>
      </x:c>
      <x:c r="AA46" s="76" t="str">
        <x:f>IF(AND(AA$10&gt;=$E46,AA$10&lt;=$F46),"■","")</x:f>
        <x:v>■</x:v>
      </x:c>
      <x:c r="AB46" s="76" t="str">
        <x:f>IF(AND(AB$10&gt;=$E46,AB$10&lt;=$F46),"■","")</x:f>
        <x:v>■</x:v>
      </x:c>
      <x:c r="AC46" s="76" t="str">
        <x:f>IF(AND(AC$10&gt;=$E46,AC$10&lt;=$F46),"■","")</x:f>
        <x:v>■</x:v>
      </x:c>
      <x:c r="AD46" s="76" t="str">
        <x:f>IF(AND(AD$10&gt;=$E46,AD$10&lt;=$F46),"■","")</x:f>
        <x:v>■</x:v>
      </x:c>
      <x:c r="AE46" s="76" t="str">
        <x:f>IF(AND(AE$10&gt;=$E46,AE$10&lt;=$F46),"■","")</x:f>
      </x:c>
      <x:c r="AF46" s="76" t="str">
        <x:f>IF(AND(AF$10&gt;=$E46,AF$10&lt;=$F46),"■","")</x:f>
      </x:c>
      <x:c r="AG46" s="76" t="str">
        <x:f>IF(AND(AG$10&gt;=$E46,AG$10&lt;=$F46),"■","")</x:f>
      </x:c>
      <x:c r="AH46" s="76" t="str">
        <x:f>IF(AND(AH$10&gt;=$E46,AH$10&lt;=$F46),"■","")</x:f>
      </x:c>
      <x:c r="AI46" s="76" t="str">
        <x:f>IF(AND(AI$10&gt;=$E46,AI$10&lt;=$F46),"■","")</x:f>
      </x:c>
      <x:c r="AJ46" s="76" t="str">
        <x:f>IF(AND(AJ$10&gt;=$E46,AJ$10&lt;=$F46),"■","")</x:f>
      </x:c>
      <x:c r="AK46" s="76" t="str">
        <x:f>IF(AND(AK$10&gt;=$E46,AK$10&lt;=$F46),"■","")</x:f>
      </x:c>
      <x:c r="AL46" s="76" t="str">
        <x:f>IF(AND(AL$10&gt;=$E46,AL$10&lt;=$F46),"■","")</x:f>
      </x:c>
      <x:c r="AM46" s="76" t="str">
        <x:f>IF(AND(AM$10&gt;=$E46,AM$10&lt;=$F46),"■","")</x:f>
      </x:c>
      <x:c r="AN46" s="76" t="str">
        <x:f>IF(AND(AN$10&gt;=$E46,AN$10&lt;=$F46),"■","")</x:f>
      </x:c>
    </x:row>
    <x:row r="47" ht="38" customHeight="1">
      <x:c r="A47" s="86" t="n">
        <x:v>37</x:v>
      </x:c>
      <x:c r="B47" s="86" t="str">
        <x:v>万圣节主题产品与线下打卡</x:v>
      </x:c>
      <x:c r="C47" s="86" t="str">
        <x:v>门店</x:v>
      </x:c>
      <x:c r="D47" s="86" t="str">
        <x:v>打卡规则、礼品与核销口径确认</x:v>
      </x:c>
      <x:c r="E47" s="87" t="n">
        <x:v>46315</x:v>
      </x:c>
      <x:c r="F47" s="87" t="n">
        <x:v>46317</x:v>
      </x:c>
      <x:c r="G47" s="88" t="n">
        <x:f>F47-E47+1</x:f>
        <x:v>3</x:v>
      </x:c>
      <x:c r="H47" s="86" t="str">
        <x:v>参与条件、礼品库存、核销和数据口径明确</x:v>
      </x:c>
      <x:c r="I47" s="86" t="str"/>
      <x:c r="J47" s="76" t="str">
        <x:f>IF(AND(J$10&gt;=$E47,J$10&lt;=$F47),"■","")</x:f>
      </x:c>
      <x:c r="K47" s="76" t="str">
        <x:f>IF(AND(K$10&gt;=$E47,K$10&lt;=$F47),"■","")</x:f>
      </x:c>
      <x:c r="L47" s="76" t="str">
        <x:f>IF(AND(L$10&gt;=$E47,L$10&lt;=$F47),"■","")</x:f>
      </x:c>
      <x:c r="M47" s="76" t="str">
        <x:f>IF(AND(M$10&gt;=$E47,M$10&lt;=$F47),"■","")</x:f>
      </x:c>
      <x:c r="N47" s="76" t="str">
        <x:f>IF(AND(N$10&gt;=$E47,N$10&lt;=$F47),"■","")</x:f>
      </x:c>
      <x:c r="O47" s="76" t="str">
        <x:f>IF(AND(O$10&gt;=$E47,O$10&lt;=$F47),"■","")</x:f>
      </x:c>
      <x:c r="P47" s="76" t="str">
        <x:f>IF(AND(P$10&gt;=$E47,P$10&lt;=$F47),"■","")</x:f>
      </x:c>
      <x:c r="Q47" s="76" t="str">
        <x:f>IF(AND(Q$10&gt;=$E47,Q$10&lt;=$F47),"■","")</x:f>
      </x:c>
      <x:c r="R47" s="76" t="str">
        <x:f>IF(AND(R$10&gt;=$E47,R$10&lt;=$F47),"■","")</x:f>
      </x:c>
      <x:c r="S47" s="76" t="str">
        <x:f>IF(AND(S$10&gt;=$E47,S$10&lt;=$F47),"■","")</x:f>
      </x:c>
      <x:c r="T47" s="76" t="str">
        <x:f>IF(AND(T$10&gt;=$E47,T$10&lt;=$F47),"■","")</x:f>
      </x:c>
      <x:c r="U47" s="76" t="str">
        <x:f>IF(AND(U$10&gt;=$E47,U$10&lt;=$F47),"■","")</x:f>
      </x:c>
      <x:c r="V47" s="76" t="str">
        <x:f>IF(AND(V$10&gt;=$E47,V$10&lt;=$F47),"■","")</x:f>
      </x:c>
      <x:c r="W47" s="76" t="str">
        <x:f>IF(AND(W$10&gt;=$E47,W$10&lt;=$F47),"■","")</x:f>
      </x:c>
      <x:c r="X47" s="76" t="str">
        <x:f>IF(AND(X$10&gt;=$E47,X$10&lt;=$F47),"■","")</x:f>
      </x:c>
      <x:c r="Y47" s="76" t="str">
        <x:f>IF(AND(Y$10&gt;=$E47,Y$10&lt;=$F47),"■","")</x:f>
      </x:c>
      <x:c r="Z47" s="76" t="str">
        <x:f>IF(AND(Z$10&gt;=$E47,Z$10&lt;=$F47),"■","")</x:f>
      </x:c>
      <x:c r="AA47" s="76" t="str">
        <x:f>IF(AND(AA$10&gt;=$E47,AA$10&lt;=$F47),"■","")</x:f>
      </x:c>
      <x:c r="AB47" s="76" t="str">
        <x:f>IF(AND(AB$10&gt;=$E47,AB$10&lt;=$F47),"■","")</x:f>
      </x:c>
      <x:c r="AC47" s="76" t="str">
        <x:f>IF(AND(AC$10&gt;=$E47,AC$10&lt;=$F47),"■","")</x:f>
        <x:v>■</x:v>
      </x:c>
      <x:c r="AD47" s="76" t="str">
        <x:f>IF(AND(AD$10&gt;=$E47,AD$10&lt;=$F47),"■","")</x:f>
        <x:v>■</x:v>
      </x:c>
      <x:c r="AE47" s="76" t="str">
        <x:f>IF(AND(AE$10&gt;=$E47,AE$10&lt;=$F47),"■","")</x:f>
        <x:v>■</x:v>
      </x:c>
      <x:c r="AF47" s="76" t="str">
        <x:f>IF(AND(AF$10&gt;=$E47,AF$10&lt;=$F47),"■","")</x:f>
      </x:c>
      <x:c r="AG47" s="76" t="str">
        <x:f>IF(AND(AG$10&gt;=$E47,AG$10&lt;=$F47),"■","")</x:f>
      </x:c>
      <x:c r="AH47" s="76" t="str">
        <x:f>IF(AND(AH$10&gt;=$E47,AH$10&lt;=$F47),"■","")</x:f>
      </x:c>
      <x:c r="AI47" s="76" t="str">
        <x:f>IF(AND(AI$10&gt;=$E47,AI$10&lt;=$F47),"■","")</x:f>
      </x:c>
      <x:c r="AJ47" s="76" t="str">
        <x:f>IF(AND(AJ$10&gt;=$E47,AJ$10&lt;=$F47),"■","")</x:f>
      </x:c>
      <x:c r="AK47" s="76" t="str">
        <x:f>IF(AND(AK$10&gt;=$E47,AK$10&lt;=$F47),"■","")</x:f>
      </x:c>
      <x:c r="AL47" s="76" t="str">
        <x:f>IF(AND(AL$10&gt;=$E47,AL$10&lt;=$F47),"■","")</x:f>
      </x:c>
      <x:c r="AM47" s="76" t="str">
        <x:f>IF(AND(AM$10&gt;=$E47,AM$10&lt;=$F47),"■","")</x:f>
      </x:c>
      <x:c r="AN47" s="76" t="str">
        <x:f>IF(AND(AN$10&gt;=$E47,AN$10&lt;=$F47),"■","")</x:f>
      </x:c>
    </x:row>
    <x:row r="48" ht="38" customHeight="1">
      <x:c r="A48" s="86" t="n">
        <x:v>38</x:v>
      </x:c>
      <x:c r="B48" s="86" t="str">
        <x:v>万圣节主题产品与线下打卡</x:v>
      </x:c>
      <x:c r="C48" s="86" t="str">
        <x:v>门店</x:v>
      </x:c>
      <x:c r="D48" s="86" t="str">
        <x:v>打卡装置设计与制作</x:v>
      </x:c>
      <x:c r="E48" s="87" t="n">
        <x:v>46315</x:v>
      </x:c>
      <x:c r="F48" s="87" t="n">
        <x:v>46321</x:v>
      </x:c>
      <x:c r="G48" s="88" t="n">
        <x:f>F48-E48+1</x:f>
        <x:v>7</x:v>
      </x:c>
      <x:c r="H48" s="86" t="str">
        <x:v>装置尺寸、画面、物料和安全检查通过</x:v>
      </x:c>
      <x:c r="I48" s="86" t="str"/>
      <x:c r="J48" s="76" t="str">
        <x:f>IF(AND(J$10&gt;=$E48,J$10&lt;=$F48),"■","")</x:f>
      </x:c>
      <x:c r="K48" s="76" t="str">
        <x:f>IF(AND(K$10&gt;=$E48,K$10&lt;=$F48),"■","")</x:f>
      </x:c>
      <x:c r="L48" s="76" t="str">
        <x:f>IF(AND(L$10&gt;=$E48,L$10&lt;=$F48),"■","")</x:f>
      </x:c>
      <x:c r="M48" s="76" t="str">
        <x:f>IF(AND(M$10&gt;=$E48,M$10&lt;=$F48),"■","")</x:f>
      </x:c>
      <x:c r="N48" s="76" t="str">
        <x:f>IF(AND(N$10&gt;=$E48,N$10&lt;=$F48),"■","")</x:f>
      </x:c>
      <x:c r="O48" s="76" t="str">
        <x:f>IF(AND(O$10&gt;=$E48,O$10&lt;=$F48),"■","")</x:f>
      </x:c>
      <x:c r="P48" s="76" t="str">
        <x:f>IF(AND(P$10&gt;=$E48,P$10&lt;=$F48),"■","")</x:f>
      </x:c>
      <x:c r="Q48" s="76" t="str">
        <x:f>IF(AND(Q$10&gt;=$E48,Q$10&lt;=$F48),"■","")</x:f>
      </x:c>
      <x:c r="R48" s="76" t="str">
        <x:f>IF(AND(R$10&gt;=$E48,R$10&lt;=$F48),"■","")</x:f>
      </x:c>
      <x:c r="S48" s="76" t="str">
        <x:f>IF(AND(S$10&gt;=$E48,S$10&lt;=$F48),"■","")</x:f>
      </x:c>
      <x:c r="T48" s="76" t="str">
        <x:f>IF(AND(T$10&gt;=$E48,T$10&lt;=$F48),"■","")</x:f>
      </x:c>
      <x:c r="U48" s="76" t="str">
        <x:f>IF(AND(U$10&gt;=$E48,U$10&lt;=$F48),"■","")</x:f>
      </x:c>
      <x:c r="V48" s="76" t="str">
        <x:f>IF(AND(V$10&gt;=$E48,V$10&lt;=$F48),"■","")</x:f>
      </x:c>
      <x:c r="W48" s="76" t="str">
        <x:f>IF(AND(W$10&gt;=$E48,W$10&lt;=$F48),"■","")</x:f>
      </x:c>
      <x:c r="X48" s="76" t="str">
        <x:f>IF(AND(X$10&gt;=$E48,X$10&lt;=$F48),"■","")</x:f>
      </x:c>
      <x:c r="Y48" s="76" t="str">
        <x:f>IF(AND(Y$10&gt;=$E48,Y$10&lt;=$F48),"■","")</x:f>
      </x:c>
      <x:c r="Z48" s="76" t="str">
        <x:f>IF(AND(Z$10&gt;=$E48,Z$10&lt;=$F48),"■","")</x:f>
      </x:c>
      <x:c r="AA48" s="76" t="str">
        <x:f>IF(AND(AA$10&gt;=$E48,AA$10&lt;=$F48),"■","")</x:f>
      </x:c>
      <x:c r="AB48" s="76" t="str">
        <x:f>IF(AND(AB$10&gt;=$E48,AB$10&lt;=$F48),"■","")</x:f>
      </x:c>
      <x:c r="AC48" s="76" t="str">
        <x:f>IF(AND(AC$10&gt;=$E48,AC$10&lt;=$F48),"■","")</x:f>
        <x:v>■</x:v>
      </x:c>
      <x:c r="AD48" s="76" t="str">
        <x:f>IF(AND(AD$10&gt;=$E48,AD$10&lt;=$F48),"■","")</x:f>
        <x:v>■</x:v>
      </x:c>
      <x:c r="AE48" s="76" t="str">
        <x:f>IF(AND(AE$10&gt;=$E48,AE$10&lt;=$F48),"■","")</x:f>
        <x:v>■</x:v>
      </x:c>
      <x:c r="AF48" s="76" t="str">
        <x:f>IF(AND(AF$10&gt;=$E48,AF$10&lt;=$F48),"■","")</x:f>
        <x:v>■</x:v>
      </x:c>
      <x:c r="AG48" s="76" t="str">
        <x:f>IF(AND(AG$10&gt;=$E48,AG$10&lt;=$F48),"■","")</x:f>
        <x:v>■</x:v>
      </x:c>
      <x:c r="AH48" s="76" t="str">
        <x:f>IF(AND(AH$10&gt;=$E48,AH$10&lt;=$F48),"■","")</x:f>
        <x:v>■</x:v>
      </x:c>
      <x:c r="AI48" s="76" t="str">
        <x:f>IF(AND(AI$10&gt;=$E48,AI$10&lt;=$F48),"■","")</x:f>
        <x:v>■</x:v>
      </x:c>
      <x:c r="AJ48" s="76" t="str">
        <x:f>IF(AND(AJ$10&gt;=$E48,AJ$10&lt;=$F48),"■","")</x:f>
      </x:c>
      <x:c r="AK48" s="76" t="str">
        <x:f>IF(AND(AK$10&gt;=$E48,AK$10&lt;=$F48),"■","")</x:f>
      </x:c>
      <x:c r="AL48" s="76" t="str">
        <x:f>IF(AND(AL$10&gt;=$E48,AL$10&lt;=$F48),"■","")</x:f>
      </x:c>
      <x:c r="AM48" s="76" t="str">
        <x:f>IF(AND(AM$10&gt;=$E48,AM$10&lt;=$F48),"■","")</x:f>
      </x:c>
      <x:c r="AN48" s="76" t="str">
        <x:f>IF(AND(AN$10&gt;=$E48,AN$10&lt;=$F48),"■","")</x:f>
      </x:c>
    </x:row>
    <x:row r="49" ht="38" customHeight="1">
      <x:c r="A49" s="86" t="n">
        <x:v>39</x:v>
      </x:c>
      <x:c r="B49" s="86" t="str">
        <x:v>万圣节主题产品与线下打卡</x:v>
      </x:c>
      <x:c r="C49" s="86" t="str">
        <x:v>门店</x:v>
      </x:c>
      <x:c r="D49" s="86" t="str">
        <x:v>装置进场与门店布景</x:v>
      </x:c>
      <x:c r="E49" s="87" t="n">
        <x:v>46322</x:v>
      </x:c>
      <x:c r="F49" s="87" t="n">
        <x:v>46325</x:v>
      </x:c>
      <x:c r="G49" s="88" t="n">
        <x:f>F49-E49+1</x:f>
        <x:v>4</x:v>
      </x:c>
      <x:c r="H49" s="86" t="str">
        <x:v>连续 4 天完成进场、安装、灯光和动线测试</x:v>
      </x:c>
      <x:c r="I49" s="86" t="str"/>
      <x:c r="J49" s="76" t="str">
        <x:f>IF(AND(J$10&gt;=$E49,J$10&lt;=$F49),"■","")</x:f>
      </x:c>
      <x:c r="K49" s="76" t="str">
        <x:f>IF(AND(K$10&gt;=$E49,K$10&lt;=$F49),"■","")</x:f>
      </x:c>
      <x:c r="L49" s="76" t="str">
        <x:f>IF(AND(L$10&gt;=$E49,L$10&lt;=$F49),"■","")</x:f>
      </x:c>
      <x:c r="M49" s="76" t="str">
        <x:f>IF(AND(M$10&gt;=$E49,M$10&lt;=$F49),"■","")</x:f>
      </x:c>
      <x:c r="N49" s="76" t="str">
        <x:f>IF(AND(N$10&gt;=$E49,N$10&lt;=$F49),"■","")</x:f>
      </x:c>
      <x:c r="O49" s="76" t="str">
        <x:f>IF(AND(O$10&gt;=$E49,O$10&lt;=$F49),"■","")</x:f>
      </x:c>
      <x:c r="P49" s="76" t="str">
        <x:f>IF(AND(P$10&gt;=$E49,P$10&lt;=$F49),"■","")</x:f>
      </x:c>
      <x:c r="Q49" s="76" t="str">
        <x:f>IF(AND(Q$10&gt;=$E49,Q$10&lt;=$F49),"■","")</x:f>
      </x:c>
      <x:c r="R49" s="76" t="str">
        <x:f>IF(AND(R$10&gt;=$E49,R$10&lt;=$F49),"■","")</x:f>
      </x:c>
      <x:c r="S49" s="76" t="str">
        <x:f>IF(AND(S$10&gt;=$E49,S$10&lt;=$F49),"■","")</x:f>
      </x:c>
      <x:c r="T49" s="76" t="str">
        <x:f>IF(AND(T$10&gt;=$E49,T$10&lt;=$F49),"■","")</x:f>
      </x:c>
      <x:c r="U49" s="76" t="str">
        <x:f>IF(AND(U$10&gt;=$E49,U$10&lt;=$F49),"■","")</x:f>
      </x:c>
      <x:c r="V49" s="76" t="str">
        <x:f>IF(AND(V$10&gt;=$E49,V$10&lt;=$F49),"■","")</x:f>
      </x:c>
      <x:c r="W49" s="76" t="str">
        <x:f>IF(AND(W$10&gt;=$E49,W$10&lt;=$F49),"■","")</x:f>
      </x:c>
      <x:c r="X49" s="76" t="str">
        <x:f>IF(AND(X$10&gt;=$E49,X$10&lt;=$F49),"■","")</x:f>
      </x:c>
      <x:c r="Y49" s="76" t="str">
        <x:f>IF(AND(Y$10&gt;=$E49,Y$10&lt;=$F49),"■","")</x:f>
      </x:c>
      <x:c r="Z49" s="76" t="str">
        <x:f>IF(AND(Z$10&gt;=$E49,Z$10&lt;=$F49),"■","")</x:f>
      </x:c>
      <x:c r="AA49" s="76" t="str">
        <x:f>IF(AND(AA$10&gt;=$E49,AA$10&lt;=$F49),"■","")</x:f>
      </x:c>
      <x:c r="AB49" s="76" t="str">
        <x:f>IF(AND(AB$10&gt;=$E49,AB$10&lt;=$F49),"■","")</x:f>
      </x:c>
      <x:c r="AC49" s="76" t="str">
        <x:f>IF(AND(AC$10&gt;=$E49,AC$10&lt;=$F49),"■","")</x:f>
      </x:c>
      <x:c r="AD49" s="76" t="str">
        <x:f>IF(AND(AD$10&gt;=$E49,AD$10&lt;=$F49),"■","")</x:f>
      </x:c>
      <x:c r="AE49" s="76" t="str">
        <x:f>IF(AND(AE$10&gt;=$E49,AE$10&lt;=$F49),"■","")</x:f>
      </x:c>
      <x:c r="AF49" s="76" t="str">
        <x:f>IF(AND(AF$10&gt;=$E49,AF$10&lt;=$F49),"■","")</x:f>
      </x:c>
      <x:c r="AG49" s="76" t="str">
        <x:f>IF(AND(AG$10&gt;=$E49,AG$10&lt;=$F49),"■","")</x:f>
      </x:c>
      <x:c r="AH49" s="76" t="str">
        <x:f>IF(AND(AH$10&gt;=$E49,AH$10&lt;=$F49),"■","")</x:f>
      </x:c>
      <x:c r="AI49" s="76" t="str">
        <x:f>IF(AND(AI$10&gt;=$E49,AI$10&lt;=$F49),"■","")</x:f>
      </x:c>
      <x:c r="AJ49" s="76" t="str">
        <x:f>IF(AND(AJ$10&gt;=$E49,AJ$10&lt;=$F49),"■","")</x:f>
        <x:v>■</x:v>
      </x:c>
      <x:c r="AK49" s="76" t="str">
        <x:f>IF(AND(AK$10&gt;=$E49,AK$10&lt;=$F49),"■","")</x:f>
        <x:v>■</x:v>
      </x:c>
      <x:c r="AL49" s="76" t="str">
        <x:f>IF(AND(AL$10&gt;=$E49,AL$10&lt;=$F49),"■","")</x:f>
        <x:v>■</x:v>
      </x:c>
      <x:c r="AM49" s="76" t="str">
        <x:f>IF(AND(AM$10&gt;=$E49,AM$10&lt;=$F49),"■","")</x:f>
        <x:v>■</x:v>
      </x:c>
      <x:c r="AN49" s="76" t="str">
        <x:f>IF(AND(AN$10&gt;=$E49,AN$10&lt;=$F49),"■","")</x:f>
      </x:c>
    </x:row>
    <x:row r="50" ht="38" customHeight="1">
      <x:c r="A50" s="86" t="n">
        <x:v>40</x:v>
      </x:c>
      <x:c r="B50" s="86" t="str">
        <x:v>万圣节主题产品与线下打卡</x:v>
      </x:c>
      <x:c r="C50" s="86" t="str">
        <x:v>门店</x:v>
      </x:c>
      <x:c r="D50" s="86" t="str">
        <x:v>打卡话术、核销与拍摄动线培训</x:v>
      </x:c>
      <x:c r="E50" s="87" t="n">
        <x:v>46324</x:v>
      </x:c>
      <x:c r="F50" s="87" t="n">
        <x:v>46325</x:v>
      </x:c>
      <x:c r="G50" s="88" t="n">
        <x:f>F50-E50+1</x:f>
        <x:v>2</x:v>
      </x:c>
      <x:c r="H50" s="86" t="str">
        <x:v>一线可独立讲解规则、核销并引导拍摄</x:v>
      </x:c>
      <x:c r="I50" s="86" t="str"/>
      <x:c r="J50" s="76" t="str">
        <x:f>IF(AND(J$10&gt;=$E50,J$10&lt;=$F50),"■","")</x:f>
      </x:c>
      <x:c r="K50" s="76" t="str">
        <x:f>IF(AND(K$10&gt;=$E50,K$10&lt;=$F50),"■","")</x:f>
      </x:c>
      <x:c r="L50" s="76" t="str">
        <x:f>IF(AND(L$10&gt;=$E50,L$10&lt;=$F50),"■","")</x:f>
      </x:c>
      <x:c r="M50" s="76" t="str">
        <x:f>IF(AND(M$10&gt;=$E50,M$10&lt;=$F50),"■","")</x:f>
      </x:c>
      <x:c r="N50" s="76" t="str">
        <x:f>IF(AND(N$10&gt;=$E50,N$10&lt;=$F50),"■","")</x:f>
      </x:c>
      <x:c r="O50" s="76" t="str">
        <x:f>IF(AND(O$10&gt;=$E50,O$10&lt;=$F50),"■","")</x:f>
      </x:c>
      <x:c r="P50" s="76" t="str">
        <x:f>IF(AND(P$10&gt;=$E50,P$10&lt;=$F50),"■","")</x:f>
      </x:c>
      <x:c r="Q50" s="76" t="str">
        <x:f>IF(AND(Q$10&gt;=$E50,Q$10&lt;=$F50),"■","")</x:f>
      </x:c>
      <x:c r="R50" s="76" t="str">
        <x:f>IF(AND(R$10&gt;=$E50,R$10&lt;=$F50),"■","")</x:f>
      </x:c>
      <x:c r="S50" s="76" t="str">
        <x:f>IF(AND(S$10&gt;=$E50,S$10&lt;=$F50),"■","")</x:f>
      </x:c>
      <x:c r="T50" s="76" t="str">
        <x:f>IF(AND(T$10&gt;=$E50,T$10&lt;=$F50),"■","")</x:f>
      </x:c>
      <x:c r="U50" s="76" t="str">
        <x:f>IF(AND(U$10&gt;=$E50,U$10&lt;=$F50),"■","")</x:f>
      </x:c>
      <x:c r="V50" s="76" t="str">
        <x:f>IF(AND(V$10&gt;=$E50,V$10&lt;=$F50),"■","")</x:f>
      </x:c>
      <x:c r="W50" s="76" t="str">
        <x:f>IF(AND(W$10&gt;=$E50,W$10&lt;=$F50),"■","")</x:f>
      </x:c>
      <x:c r="X50" s="76" t="str">
        <x:f>IF(AND(X$10&gt;=$E50,X$10&lt;=$F50),"■","")</x:f>
      </x:c>
      <x:c r="Y50" s="76" t="str">
        <x:f>IF(AND(Y$10&gt;=$E50,Y$10&lt;=$F50),"■","")</x:f>
      </x:c>
      <x:c r="Z50" s="76" t="str">
        <x:f>IF(AND(Z$10&gt;=$E50,Z$10&lt;=$F50),"■","")</x:f>
      </x:c>
      <x:c r="AA50" s="76" t="str">
        <x:f>IF(AND(AA$10&gt;=$E50,AA$10&lt;=$F50),"■","")</x:f>
      </x:c>
      <x:c r="AB50" s="76" t="str">
        <x:f>IF(AND(AB$10&gt;=$E50,AB$10&lt;=$F50),"■","")</x:f>
      </x:c>
      <x:c r="AC50" s="76" t="str">
        <x:f>IF(AND(AC$10&gt;=$E50,AC$10&lt;=$F50),"■","")</x:f>
      </x:c>
      <x:c r="AD50" s="76" t="str">
        <x:f>IF(AND(AD$10&gt;=$E50,AD$10&lt;=$F50),"■","")</x:f>
      </x:c>
      <x:c r="AE50" s="76" t="str">
        <x:f>IF(AND(AE$10&gt;=$E50,AE$10&lt;=$F50),"■","")</x:f>
      </x:c>
      <x:c r="AF50" s="76" t="str">
        <x:f>IF(AND(AF$10&gt;=$E50,AF$10&lt;=$F50),"■","")</x:f>
      </x:c>
      <x:c r="AG50" s="76" t="str">
        <x:f>IF(AND(AG$10&gt;=$E50,AG$10&lt;=$F50),"■","")</x:f>
      </x:c>
      <x:c r="AH50" s="76" t="str">
        <x:f>IF(AND(AH$10&gt;=$E50,AH$10&lt;=$F50),"■","")</x:f>
      </x:c>
      <x:c r="AI50" s="76" t="str">
        <x:f>IF(AND(AI$10&gt;=$E50,AI$10&lt;=$F50),"■","")</x:f>
      </x:c>
      <x:c r="AJ50" s="76" t="str">
        <x:f>IF(AND(AJ$10&gt;=$E50,AJ$10&lt;=$F50),"■","")</x:f>
      </x:c>
      <x:c r="AK50" s="76" t="str">
        <x:f>IF(AND(AK$10&gt;=$E50,AK$10&lt;=$F50),"■","")</x:f>
      </x:c>
      <x:c r="AL50" s="76" t="str">
        <x:f>IF(AND(AL$10&gt;=$E50,AL$10&lt;=$F50),"■","")</x:f>
        <x:v>■</x:v>
      </x:c>
      <x:c r="AM50" s="76" t="str">
        <x:f>IF(AND(AM$10&gt;=$E50,AM$10&lt;=$F50),"■","")</x:f>
        <x:v>■</x:v>
      </x:c>
      <x:c r="AN50" s="76" t="str">
        <x:f>IF(AND(AN$10&gt;=$E50,AN$10&lt;=$F50),"■","")</x:f>
      </x:c>
    </x:row>
    <x:row r="51" ht="38" customHeight="1">
      <x:c r="A51" s="86" t="n">
        <x:v>41</x:v>
      </x:c>
      <x:c r="B51" s="86" t="str">
        <x:v>万圣节主题产品与线下打卡</x:v>
      </x:c>
      <x:c r="C51" s="86" t="str">
        <x:v>小红书</x:v>
      </x:c>
      <x:c r="D51" s="86" t="str">
        <x:v>万圣节自有账号预告与打卡内容</x:v>
      </x:c>
      <x:c r="E51" s="87" t="n">
        <x:v>46323</x:v>
      </x:c>
      <x:c r="F51" s="87" t="n">
        <x:v>46326</x:v>
      </x:c>
      <x:c r="G51" s="88" t="n">
        <x:f>F51-E51+1</x:f>
        <x:v>4</x:v>
      </x:c>
      <x:c r="H51" s="86" t="str">
        <x:v>预告、门店实景和用户内容均发布并记录互动</x:v>
      </x:c>
      <x:c r="I51" s="86" t="str"/>
      <x:c r="J51" s="76" t="str">
        <x:f>IF(AND(J$10&gt;=$E51,J$10&lt;=$F51),"■","")</x:f>
      </x:c>
      <x:c r="K51" s="76" t="str">
        <x:f>IF(AND(K$10&gt;=$E51,K$10&lt;=$F51),"■","")</x:f>
      </x:c>
      <x:c r="L51" s="76" t="str">
        <x:f>IF(AND(L$10&gt;=$E51,L$10&lt;=$F51),"■","")</x:f>
      </x:c>
      <x:c r="M51" s="76" t="str">
        <x:f>IF(AND(M$10&gt;=$E51,M$10&lt;=$F51),"■","")</x:f>
      </x:c>
      <x:c r="N51" s="76" t="str">
        <x:f>IF(AND(N$10&gt;=$E51,N$10&lt;=$F51),"■","")</x:f>
      </x:c>
      <x:c r="O51" s="76" t="str">
        <x:f>IF(AND(O$10&gt;=$E51,O$10&lt;=$F51),"■","")</x:f>
      </x:c>
      <x:c r="P51" s="76" t="str">
        <x:f>IF(AND(P$10&gt;=$E51,P$10&lt;=$F51),"■","")</x:f>
      </x:c>
      <x:c r="Q51" s="76" t="str">
        <x:f>IF(AND(Q$10&gt;=$E51,Q$10&lt;=$F51),"■","")</x:f>
      </x:c>
      <x:c r="R51" s="76" t="str">
        <x:f>IF(AND(R$10&gt;=$E51,R$10&lt;=$F51),"■","")</x:f>
      </x:c>
      <x:c r="S51" s="76" t="str">
        <x:f>IF(AND(S$10&gt;=$E51,S$10&lt;=$F51),"■","")</x:f>
      </x:c>
      <x:c r="T51" s="76" t="str">
        <x:f>IF(AND(T$10&gt;=$E51,T$10&lt;=$F51),"■","")</x:f>
      </x:c>
      <x:c r="U51" s="76" t="str">
        <x:f>IF(AND(U$10&gt;=$E51,U$10&lt;=$F51),"■","")</x:f>
      </x:c>
      <x:c r="V51" s="76" t="str">
        <x:f>IF(AND(V$10&gt;=$E51,V$10&lt;=$F51),"■","")</x:f>
      </x:c>
      <x:c r="W51" s="76" t="str">
        <x:f>IF(AND(W$10&gt;=$E51,W$10&lt;=$F51),"■","")</x:f>
      </x:c>
      <x:c r="X51" s="76" t="str">
        <x:f>IF(AND(X$10&gt;=$E51,X$10&lt;=$F51),"■","")</x:f>
      </x:c>
      <x:c r="Y51" s="76" t="str">
        <x:f>IF(AND(Y$10&gt;=$E51,Y$10&lt;=$F51),"■","")</x:f>
      </x:c>
      <x:c r="Z51" s="76" t="str">
        <x:f>IF(AND(Z$10&gt;=$E51,Z$10&lt;=$F51),"■","")</x:f>
      </x:c>
      <x:c r="AA51" s="76" t="str">
        <x:f>IF(AND(AA$10&gt;=$E51,AA$10&lt;=$F51),"■","")</x:f>
      </x:c>
      <x:c r="AB51" s="76" t="str">
        <x:f>IF(AND(AB$10&gt;=$E51,AB$10&lt;=$F51),"■","")</x:f>
      </x:c>
      <x:c r="AC51" s="76" t="str">
        <x:f>IF(AND(AC$10&gt;=$E51,AC$10&lt;=$F51),"■","")</x:f>
      </x:c>
      <x:c r="AD51" s="76" t="str">
        <x:f>IF(AND(AD$10&gt;=$E51,AD$10&lt;=$F51),"■","")</x:f>
      </x:c>
      <x:c r="AE51" s="76" t="str">
        <x:f>IF(AND(AE$10&gt;=$E51,AE$10&lt;=$F51),"■","")</x:f>
      </x:c>
      <x:c r="AF51" s="76" t="str">
        <x:f>IF(AND(AF$10&gt;=$E51,AF$10&lt;=$F51),"■","")</x:f>
      </x:c>
      <x:c r="AG51" s="76" t="str">
        <x:f>IF(AND(AG$10&gt;=$E51,AG$10&lt;=$F51),"■","")</x:f>
      </x:c>
      <x:c r="AH51" s="76" t="str">
        <x:f>IF(AND(AH$10&gt;=$E51,AH$10&lt;=$F51),"■","")</x:f>
      </x:c>
      <x:c r="AI51" s="76" t="str">
        <x:f>IF(AND(AI$10&gt;=$E51,AI$10&lt;=$F51),"■","")</x:f>
      </x:c>
      <x:c r="AJ51" s="76" t="str">
        <x:f>IF(AND(AJ$10&gt;=$E51,AJ$10&lt;=$F51),"■","")</x:f>
      </x:c>
      <x:c r="AK51" s="76" t="str">
        <x:f>IF(AND(AK$10&gt;=$E51,AK$10&lt;=$F51),"■","")</x:f>
        <x:v>■</x:v>
      </x:c>
      <x:c r="AL51" s="76" t="str">
        <x:f>IF(AND(AL$10&gt;=$E51,AL$10&lt;=$F51),"■","")</x:f>
        <x:v>■</x:v>
      </x:c>
      <x:c r="AM51" s="76" t="str">
        <x:f>IF(AND(AM$10&gt;=$E51,AM$10&lt;=$F51),"■","")</x:f>
        <x:v>■</x:v>
      </x:c>
      <x:c r="AN51" s="76" t="str">
        <x:f>IF(AND(AN$10&gt;=$E51,AN$10&lt;=$F51),"■","")</x:f>
        <x:v>■</x:v>
      </x:c>
    </x:row>
    <x:row r="52" ht="38" customHeight="1">
      <x:c r="A52" s="86" t="n">
        <x:v>42</x:v>
      </x:c>
      <x:c r="B52" s="86" t="str">
        <x:v>万圣节主题产品与线下打卡</x:v>
      </x:c>
      <x:c r="C52" s="86" t="str">
        <x:v>美团点评</x:v>
      </x:c>
      <x:c r="D52" s="86" t="str">
        <x:v>万圣节门店打卡有礼上线</x:v>
      </x:c>
      <x:c r="E52" s="87" t="n">
        <x:v>46325</x:v>
      </x:c>
      <x:c r="F52" s="87" t="n">
        <x:v>46326</x:v>
      </x:c>
      <x:c r="G52" s="88" t="n">
        <x:f>F52-E52+1</x:f>
        <x:v>2</x:v>
      </x:c>
      <x:c r="H52" s="86" t="str">
        <x:v>活动页、礼品、核销和真实到店数据完整</x:v>
      </x:c>
      <x:c r="I52" s="86" t="str"/>
      <x:c r="J52" s="76" t="str">
        <x:f>IF(AND(J$10&gt;=$E52,J$10&lt;=$F52),"■","")</x:f>
      </x:c>
      <x:c r="K52" s="76" t="str">
        <x:f>IF(AND(K$10&gt;=$E52,K$10&lt;=$F52),"■","")</x:f>
      </x:c>
      <x:c r="L52" s="76" t="str">
        <x:f>IF(AND(L$10&gt;=$E52,L$10&lt;=$F52),"■","")</x:f>
      </x:c>
      <x:c r="M52" s="76" t="str">
        <x:f>IF(AND(M$10&gt;=$E52,M$10&lt;=$F52),"■","")</x:f>
      </x:c>
      <x:c r="N52" s="76" t="str">
        <x:f>IF(AND(N$10&gt;=$E52,N$10&lt;=$F52),"■","")</x:f>
      </x:c>
      <x:c r="O52" s="76" t="str">
        <x:f>IF(AND(O$10&gt;=$E52,O$10&lt;=$F52),"■","")</x:f>
      </x:c>
      <x:c r="P52" s="76" t="str">
        <x:f>IF(AND(P$10&gt;=$E52,P$10&lt;=$F52),"■","")</x:f>
      </x:c>
      <x:c r="Q52" s="76" t="str">
        <x:f>IF(AND(Q$10&gt;=$E52,Q$10&lt;=$F52),"■","")</x:f>
      </x:c>
      <x:c r="R52" s="76" t="str">
        <x:f>IF(AND(R$10&gt;=$E52,R$10&lt;=$F52),"■","")</x:f>
      </x:c>
      <x:c r="S52" s="76" t="str">
        <x:f>IF(AND(S$10&gt;=$E52,S$10&lt;=$F52),"■","")</x:f>
      </x:c>
      <x:c r="T52" s="76" t="str">
        <x:f>IF(AND(T$10&gt;=$E52,T$10&lt;=$F52),"■","")</x:f>
      </x:c>
      <x:c r="U52" s="76" t="str">
        <x:f>IF(AND(U$10&gt;=$E52,U$10&lt;=$F52),"■","")</x:f>
      </x:c>
      <x:c r="V52" s="76" t="str">
        <x:f>IF(AND(V$10&gt;=$E52,V$10&lt;=$F52),"■","")</x:f>
      </x:c>
      <x:c r="W52" s="76" t="str">
        <x:f>IF(AND(W$10&gt;=$E52,W$10&lt;=$F52),"■","")</x:f>
      </x:c>
      <x:c r="X52" s="76" t="str">
        <x:f>IF(AND(X$10&gt;=$E52,X$10&lt;=$F52),"■","")</x:f>
      </x:c>
      <x:c r="Y52" s="76" t="str">
        <x:f>IF(AND(Y$10&gt;=$E52,Y$10&lt;=$F52),"■","")</x:f>
      </x:c>
      <x:c r="Z52" s="76" t="str">
        <x:f>IF(AND(Z$10&gt;=$E52,Z$10&lt;=$F52),"■","")</x:f>
      </x:c>
      <x:c r="AA52" s="76" t="str">
        <x:f>IF(AND(AA$10&gt;=$E52,AA$10&lt;=$F52),"■","")</x:f>
      </x:c>
      <x:c r="AB52" s="76" t="str">
        <x:f>IF(AND(AB$10&gt;=$E52,AB$10&lt;=$F52),"■","")</x:f>
      </x:c>
      <x:c r="AC52" s="76" t="str">
        <x:f>IF(AND(AC$10&gt;=$E52,AC$10&lt;=$F52),"■","")</x:f>
      </x:c>
      <x:c r="AD52" s="76" t="str">
        <x:f>IF(AND(AD$10&gt;=$E52,AD$10&lt;=$F52),"■","")</x:f>
      </x:c>
      <x:c r="AE52" s="76" t="str">
        <x:f>IF(AND(AE$10&gt;=$E52,AE$10&lt;=$F52),"■","")</x:f>
      </x:c>
      <x:c r="AF52" s="76" t="str">
        <x:f>IF(AND(AF$10&gt;=$E52,AF$10&lt;=$F52),"■","")</x:f>
      </x:c>
      <x:c r="AG52" s="76" t="str">
        <x:f>IF(AND(AG$10&gt;=$E52,AG$10&lt;=$F52),"■","")</x:f>
      </x:c>
      <x:c r="AH52" s="76" t="str">
        <x:f>IF(AND(AH$10&gt;=$E52,AH$10&lt;=$F52),"■","")</x:f>
      </x:c>
      <x:c r="AI52" s="76" t="str">
        <x:f>IF(AND(AI$10&gt;=$E52,AI$10&lt;=$F52),"■","")</x:f>
      </x:c>
      <x:c r="AJ52" s="76" t="str">
        <x:f>IF(AND(AJ$10&gt;=$E52,AJ$10&lt;=$F52),"■","")</x:f>
      </x:c>
      <x:c r="AK52" s="76" t="str">
        <x:f>IF(AND(AK$10&gt;=$E52,AK$10&lt;=$F52),"■","")</x:f>
      </x:c>
      <x:c r="AL52" s="76" t="str">
        <x:f>IF(AND(AL$10&gt;=$E52,AL$10&lt;=$F52),"■","")</x:f>
      </x:c>
      <x:c r="AM52" s="76" t="str">
        <x:f>IF(AND(AM$10&gt;=$E52,AM$10&lt;=$F52),"■","")</x:f>
        <x:v>■</x:v>
      </x:c>
      <x:c r="AN52" s="76" t="str">
        <x:f>IF(AND(AN$10&gt;=$E52,AN$10&lt;=$F52),"■","")</x:f>
        <x:v>■</x:v>
      </x:c>
    </x:row>
    <x:row r="53" ht="38" customHeight="1">
      <x:c r="A53" s="86" t="n">
        <x:v>43</x:v>
      </x:c>
      <x:c r="B53" s="86" t="str">
        <x:v>万圣节主题产品与线下打卡</x:v>
      </x:c>
      <x:c r="C53" s="86" t="str">
        <x:v>门店</x:v>
      </x:c>
      <x:c r="D53" s="86" t="str">
        <x:v>现场执行与数据记录</x:v>
      </x:c>
      <x:c r="E53" s="87" t="n">
        <x:v>46326</x:v>
      </x:c>
      <x:c r="F53" s="87" t="n">
        <x:v>46326</x:v>
      </x:c>
      <x:c r="G53" s="88" t="n">
        <x:f>F53-E53+1</x:f>
        <x:v>1</x:v>
      </x:c>
      <x:c r="H53" s="86" t="str">
        <x:v>到店、打卡、内容发布、核销和套餐销售数据完整</x:v>
      </x:c>
      <x:c r="I53" s="86" t="str"/>
      <x:c r="J53" s="76" t="str">
        <x:f>IF(AND(J$10&gt;=$E53,J$10&lt;=$F53),"■","")</x:f>
      </x:c>
      <x:c r="K53" s="76" t="str">
        <x:f>IF(AND(K$10&gt;=$E53,K$10&lt;=$F53),"■","")</x:f>
      </x:c>
      <x:c r="L53" s="76" t="str">
        <x:f>IF(AND(L$10&gt;=$E53,L$10&lt;=$F53),"■","")</x:f>
      </x:c>
      <x:c r="M53" s="76" t="str">
        <x:f>IF(AND(M$10&gt;=$E53,M$10&lt;=$F53),"■","")</x:f>
      </x:c>
      <x:c r="N53" s="76" t="str">
        <x:f>IF(AND(N$10&gt;=$E53,N$10&lt;=$F53),"■","")</x:f>
      </x:c>
      <x:c r="O53" s="76" t="str">
        <x:f>IF(AND(O$10&gt;=$E53,O$10&lt;=$F53),"■","")</x:f>
      </x:c>
      <x:c r="P53" s="76" t="str">
        <x:f>IF(AND(P$10&gt;=$E53,P$10&lt;=$F53),"■","")</x:f>
      </x:c>
      <x:c r="Q53" s="76" t="str">
        <x:f>IF(AND(Q$10&gt;=$E53,Q$10&lt;=$F53),"■","")</x:f>
      </x:c>
      <x:c r="R53" s="76" t="str">
        <x:f>IF(AND(R$10&gt;=$E53,R$10&lt;=$F53),"■","")</x:f>
      </x:c>
      <x:c r="S53" s="76" t="str">
        <x:f>IF(AND(S$10&gt;=$E53,S$10&lt;=$F53),"■","")</x:f>
      </x:c>
      <x:c r="T53" s="76" t="str">
        <x:f>IF(AND(T$10&gt;=$E53,T$10&lt;=$F53),"■","")</x:f>
      </x:c>
      <x:c r="U53" s="76" t="str">
        <x:f>IF(AND(U$10&gt;=$E53,U$10&lt;=$F53),"■","")</x:f>
      </x:c>
      <x:c r="V53" s="76" t="str">
        <x:f>IF(AND(V$10&gt;=$E53,V$10&lt;=$F53),"■","")</x:f>
      </x:c>
      <x:c r="W53" s="76" t="str">
        <x:f>IF(AND(W$10&gt;=$E53,W$10&lt;=$F53),"■","")</x:f>
      </x:c>
      <x:c r="X53" s="76" t="str">
        <x:f>IF(AND(X$10&gt;=$E53,X$10&lt;=$F53),"■","")</x:f>
      </x:c>
      <x:c r="Y53" s="76" t="str">
        <x:f>IF(AND(Y$10&gt;=$E53,Y$10&lt;=$F53),"■","")</x:f>
      </x:c>
      <x:c r="Z53" s="76" t="str">
        <x:f>IF(AND(Z$10&gt;=$E53,Z$10&lt;=$F53),"■","")</x:f>
      </x:c>
      <x:c r="AA53" s="76" t="str">
        <x:f>IF(AND(AA$10&gt;=$E53,AA$10&lt;=$F53),"■","")</x:f>
      </x:c>
      <x:c r="AB53" s="76" t="str">
        <x:f>IF(AND(AB$10&gt;=$E53,AB$10&lt;=$F53),"■","")</x:f>
      </x:c>
      <x:c r="AC53" s="76" t="str">
        <x:f>IF(AND(AC$10&gt;=$E53,AC$10&lt;=$F53),"■","")</x:f>
      </x:c>
      <x:c r="AD53" s="76" t="str">
        <x:f>IF(AND(AD$10&gt;=$E53,AD$10&lt;=$F53),"■","")</x:f>
      </x:c>
      <x:c r="AE53" s="76" t="str">
        <x:f>IF(AND(AE$10&gt;=$E53,AE$10&lt;=$F53),"■","")</x:f>
      </x:c>
      <x:c r="AF53" s="76" t="str">
        <x:f>IF(AND(AF$10&gt;=$E53,AF$10&lt;=$F53),"■","")</x:f>
      </x:c>
      <x:c r="AG53" s="76" t="str">
        <x:f>IF(AND(AG$10&gt;=$E53,AG$10&lt;=$F53),"■","")</x:f>
      </x:c>
      <x:c r="AH53" s="76" t="str">
        <x:f>IF(AND(AH$10&gt;=$E53,AH$10&lt;=$F53),"■","")</x:f>
      </x:c>
      <x:c r="AI53" s="76" t="str">
        <x:f>IF(AND(AI$10&gt;=$E53,AI$10&lt;=$F53),"■","")</x:f>
      </x:c>
      <x:c r="AJ53" s="76" t="str">
        <x:f>IF(AND(AJ$10&gt;=$E53,AJ$10&lt;=$F53),"■","")</x:f>
      </x:c>
      <x:c r="AK53" s="76" t="str">
        <x:f>IF(AND(AK$10&gt;=$E53,AK$10&lt;=$F53),"■","")</x:f>
      </x:c>
      <x:c r="AL53" s="76" t="str">
        <x:f>IF(AND(AL$10&gt;=$E53,AL$10&lt;=$F53),"■","")</x:f>
      </x:c>
      <x:c r="AM53" s="76" t="str">
        <x:f>IF(AND(AM$10&gt;=$E53,AM$10&lt;=$F53),"■","")</x:f>
      </x:c>
      <x:c r="AN53" s="76" t="str">
        <x:f>IF(AND(AN$10&gt;=$E53,AN$10&lt;=$F53),"■","")</x:f>
        <x:v>■</x:v>
      </x:c>
    </x:row>
    <x:row r="54" ht="38" customHeight="1">
      <x:c r="A54" s="86" t="n">
        <x:v>44</x:v>
      </x:c>
      <x:c r="B54" s="86" t="str">
        <x:v>月度基础经营</x:v>
      </x:c>
      <x:c r="C54" s="86" t="str">
        <x:v>内部经营</x:v>
      </x:c>
      <x:c r="D54" s="86" t="str">
        <x:v>主推产品毛利、损耗与交付问题复盘</x:v>
      </x:c>
      <x:c r="E54" s="87" t="n">
        <x:v>46319</x:v>
      </x:c>
      <x:c r="F54" s="87" t="n">
        <x:v>46325</x:v>
      </x:c>
      <x:c r="G54" s="88" t="n">
        <x:f>F54-E54+1</x:f>
        <x:v>7</x:v>
      </x:c>
      <x:c r="H54" s="86" t="str">
        <x:v>只优化影响本月主线的问题；记录毛利、损耗、退款和客诉</x:v>
      </x:c>
      <x:c r="I54" s="86" t="str"/>
      <x:c r="J54" s="76" t="str">
        <x:f>IF(AND(J$10&gt;=$E54,J$10&lt;=$F54),"■","")</x:f>
      </x:c>
      <x:c r="K54" s="76" t="str">
        <x:f>IF(AND(K$10&gt;=$E54,K$10&lt;=$F54),"■","")</x:f>
      </x:c>
      <x:c r="L54" s="76" t="str">
        <x:f>IF(AND(L$10&gt;=$E54,L$10&lt;=$F54),"■","")</x:f>
      </x:c>
      <x:c r="M54" s="76" t="str">
        <x:f>IF(AND(M$10&gt;=$E54,M$10&lt;=$F54),"■","")</x:f>
      </x:c>
      <x:c r="N54" s="76" t="str">
        <x:f>IF(AND(N$10&gt;=$E54,N$10&lt;=$F54),"■","")</x:f>
      </x:c>
      <x:c r="O54" s="76" t="str">
        <x:f>IF(AND(O$10&gt;=$E54,O$10&lt;=$F54),"■","")</x:f>
      </x:c>
      <x:c r="P54" s="76" t="str">
        <x:f>IF(AND(P$10&gt;=$E54,P$10&lt;=$F54),"■","")</x:f>
      </x:c>
      <x:c r="Q54" s="76" t="str">
        <x:f>IF(AND(Q$10&gt;=$E54,Q$10&lt;=$F54),"■","")</x:f>
      </x:c>
      <x:c r="R54" s="76" t="str">
        <x:f>IF(AND(R$10&gt;=$E54,R$10&lt;=$F54),"■","")</x:f>
      </x:c>
      <x:c r="S54" s="76" t="str">
        <x:f>IF(AND(S$10&gt;=$E54,S$10&lt;=$F54),"■","")</x:f>
      </x:c>
      <x:c r="T54" s="76" t="str">
        <x:f>IF(AND(T$10&gt;=$E54,T$10&lt;=$F54),"■","")</x:f>
      </x:c>
      <x:c r="U54" s="76" t="str">
        <x:f>IF(AND(U$10&gt;=$E54,U$10&lt;=$F54),"■","")</x:f>
      </x:c>
      <x:c r="V54" s="76" t="str">
        <x:f>IF(AND(V$10&gt;=$E54,V$10&lt;=$F54),"■","")</x:f>
      </x:c>
      <x:c r="W54" s="76" t="str">
        <x:f>IF(AND(W$10&gt;=$E54,W$10&lt;=$F54),"■","")</x:f>
      </x:c>
      <x:c r="X54" s="76" t="str">
        <x:f>IF(AND(X$10&gt;=$E54,X$10&lt;=$F54),"■","")</x:f>
      </x:c>
      <x:c r="Y54" s="76" t="str">
        <x:f>IF(AND(Y$10&gt;=$E54,Y$10&lt;=$F54),"■","")</x:f>
      </x:c>
      <x:c r="Z54" s="76" t="str">
        <x:f>IF(AND(Z$10&gt;=$E54,Z$10&lt;=$F54),"■","")</x:f>
      </x:c>
      <x:c r="AA54" s="76" t="str">
        <x:f>IF(AND(AA$10&gt;=$E54,AA$10&lt;=$F54),"■","")</x:f>
      </x:c>
      <x:c r="AB54" s="76" t="str">
        <x:f>IF(AND(AB$10&gt;=$E54,AB$10&lt;=$F54),"■","")</x:f>
      </x:c>
      <x:c r="AC54" s="76" t="str">
        <x:f>IF(AND(AC$10&gt;=$E54,AC$10&lt;=$F54),"■","")</x:f>
      </x:c>
      <x:c r="AD54" s="76" t="str">
        <x:f>IF(AND(AD$10&gt;=$E54,AD$10&lt;=$F54),"■","")</x:f>
      </x:c>
      <x:c r="AE54" s="76" t="str">
        <x:f>IF(AND(AE$10&gt;=$E54,AE$10&lt;=$F54),"■","")</x:f>
      </x:c>
      <x:c r="AF54" s="76" t="str">
        <x:f>IF(AND(AF$10&gt;=$E54,AF$10&lt;=$F54),"■","")</x:f>
      </x:c>
      <x:c r="AG54" s="76" t="str">
        <x:f>IF(AND(AG$10&gt;=$E54,AG$10&lt;=$F54),"■","")</x:f>
        <x:v>■</x:v>
      </x:c>
      <x:c r="AH54" s="76" t="str">
        <x:f>IF(AND(AH$10&gt;=$E54,AH$10&lt;=$F54),"■","")</x:f>
        <x:v>■</x:v>
      </x:c>
      <x:c r="AI54" s="76" t="str">
        <x:f>IF(AND(AI$10&gt;=$E54,AI$10&lt;=$F54),"■","")</x:f>
        <x:v>■</x:v>
      </x:c>
      <x:c r="AJ54" s="76" t="str">
        <x:f>IF(AND(AJ$10&gt;=$E54,AJ$10&lt;=$F54),"■","")</x:f>
        <x:v>■</x:v>
      </x:c>
      <x:c r="AK54" s="76" t="str">
        <x:f>IF(AND(AK$10&gt;=$E54,AK$10&lt;=$F54),"■","")</x:f>
        <x:v>■</x:v>
      </x:c>
      <x:c r="AL54" s="76" t="str">
        <x:f>IF(AND(AL$10&gt;=$E54,AL$10&lt;=$F54),"■","")</x:f>
        <x:v>■</x:v>
      </x:c>
      <x:c r="AM54" s="76" t="str">
        <x:f>IF(AND(AM$10&gt;=$E54,AM$10&lt;=$F54),"■","")</x:f>
        <x:v>■</x:v>
      </x:c>
      <x:c r="AN54" s="76" t="str">
        <x:f>IF(AND(AN$10&gt;=$E54,AN$10&lt;=$F54),"■","")</x:f>
      </x:c>
    </x:row>
    <x:row r="55" ht="38" customHeight="1">
      <x:c r="A55" s="86" t="n">
        <x:v>45</x:v>
      </x:c>
      <x:c r="B55" s="86" t="str">
        <x:v>月度基础经营</x:v>
      </x:c>
      <x:c r="C55" s="86" t="str">
        <x:v>内部经营</x:v>
      </x:c>
      <x:c r="D55" s="86" t="str">
        <x:v>库存、产能与损耗每周更新</x:v>
      </x:c>
      <x:c r="E55" s="87" t="n">
        <x:v>46296</x:v>
      </x:c>
      <x:c r="F55" s="87" t="n">
        <x:v>46326</x:v>
      </x:c>
      <x:c r="G55" s="88" t="n">
        <x:f>F55-E55+1</x:f>
        <x:v>31</x:v>
      </x:c>
      <x:c r="H55" s="86" t="str">
        <x:v>每周更新关键原料、最大产能、报损和缺货风险</x:v>
      </x:c>
      <x:c r="I55" s="86" t="str"/>
      <x:c r="J55" s="76" t="str">
        <x:f>IF(AND(J$10&gt;=$E55,J$10&lt;=$F55),"■","")</x:f>
        <x:v>■</x:v>
      </x:c>
      <x:c r="K55" s="76" t="str">
        <x:f>IF(AND(K$10&gt;=$E55,K$10&lt;=$F55),"■","")</x:f>
        <x:v>■</x:v>
      </x:c>
      <x:c r="L55" s="76" t="str">
        <x:f>IF(AND(L$10&gt;=$E55,L$10&lt;=$F55),"■","")</x:f>
        <x:v>■</x:v>
      </x:c>
      <x:c r="M55" s="76" t="str">
        <x:f>IF(AND(M$10&gt;=$E55,M$10&lt;=$F55),"■","")</x:f>
        <x:v>■</x:v>
      </x:c>
      <x:c r="N55" s="76" t="str">
        <x:f>IF(AND(N$10&gt;=$E55,N$10&lt;=$F55),"■","")</x:f>
        <x:v>■</x:v>
      </x:c>
      <x:c r="O55" s="76" t="str">
        <x:f>IF(AND(O$10&gt;=$E55,O$10&lt;=$F55),"■","")</x:f>
        <x:v>■</x:v>
      </x:c>
      <x:c r="P55" s="76" t="str">
        <x:f>IF(AND(P$10&gt;=$E55,P$10&lt;=$F55),"■","")</x:f>
        <x:v>■</x:v>
      </x:c>
      <x:c r="Q55" s="76" t="str">
        <x:f>IF(AND(Q$10&gt;=$E55,Q$10&lt;=$F55),"■","")</x:f>
        <x:v>■</x:v>
      </x:c>
      <x:c r="R55" s="76" t="str">
        <x:f>IF(AND(R$10&gt;=$E55,R$10&lt;=$F55),"■","")</x:f>
        <x:v>■</x:v>
      </x:c>
      <x:c r="S55" s="76" t="str">
        <x:f>IF(AND(S$10&gt;=$E55,S$10&lt;=$F55),"■","")</x:f>
        <x:v>■</x:v>
      </x:c>
      <x:c r="T55" s="76" t="str">
        <x:f>IF(AND(T$10&gt;=$E55,T$10&lt;=$F55),"■","")</x:f>
        <x:v>■</x:v>
      </x:c>
      <x:c r="U55" s="76" t="str">
        <x:f>IF(AND(U$10&gt;=$E55,U$10&lt;=$F55),"■","")</x:f>
        <x:v>■</x:v>
      </x:c>
      <x:c r="V55" s="76" t="str">
        <x:f>IF(AND(V$10&gt;=$E55,V$10&lt;=$F55),"■","")</x:f>
        <x:v>■</x:v>
      </x:c>
      <x:c r="W55" s="76" t="str">
        <x:f>IF(AND(W$10&gt;=$E55,W$10&lt;=$F55),"■","")</x:f>
        <x:v>■</x:v>
      </x:c>
      <x:c r="X55" s="76" t="str">
        <x:f>IF(AND(X$10&gt;=$E55,X$10&lt;=$F55),"■","")</x:f>
        <x:v>■</x:v>
      </x:c>
      <x:c r="Y55" s="76" t="str">
        <x:f>IF(AND(Y$10&gt;=$E55,Y$10&lt;=$F55),"■","")</x:f>
        <x:v>■</x:v>
      </x:c>
      <x:c r="Z55" s="76" t="str">
        <x:f>IF(AND(Z$10&gt;=$E55,Z$10&lt;=$F55),"■","")</x:f>
        <x:v>■</x:v>
      </x:c>
      <x:c r="AA55" s="76" t="str">
        <x:f>IF(AND(AA$10&gt;=$E55,AA$10&lt;=$F55),"■","")</x:f>
        <x:v>■</x:v>
      </x:c>
      <x:c r="AB55" s="76" t="str">
        <x:f>IF(AND(AB$10&gt;=$E55,AB$10&lt;=$F55),"■","")</x:f>
        <x:v>■</x:v>
      </x:c>
      <x:c r="AC55" s="76" t="str">
        <x:f>IF(AND(AC$10&gt;=$E55,AC$10&lt;=$F55),"■","")</x:f>
        <x:v>■</x:v>
      </x:c>
      <x:c r="AD55" s="76" t="str">
        <x:f>IF(AND(AD$10&gt;=$E55,AD$10&lt;=$F55),"■","")</x:f>
        <x:v>■</x:v>
      </x:c>
      <x:c r="AE55" s="76" t="str">
        <x:f>IF(AND(AE$10&gt;=$E55,AE$10&lt;=$F55),"■","")</x:f>
        <x:v>■</x:v>
      </x:c>
      <x:c r="AF55" s="76" t="str">
        <x:f>IF(AND(AF$10&gt;=$E55,AF$10&lt;=$F55),"■","")</x:f>
        <x:v>■</x:v>
      </x:c>
      <x:c r="AG55" s="76" t="str">
        <x:f>IF(AND(AG$10&gt;=$E55,AG$10&lt;=$F55),"■","")</x:f>
        <x:v>■</x:v>
      </x:c>
      <x:c r="AH55" s="76" t="str">
        <x:f>IF(AND(AH$10&gt;=$E55,AH$10&lt;=$F55),"■","")</x:f>
        <x:v>■</x:v>
      </x:c>
      <x:c r="AI55" s="76" t="str">
        <x:f>IF(AND(AI$10&gt;=$E55,AI$10&lt;=$F55),"■","")</x:f>
        <x:v>■</x:v>
      </x:c>
      <x:c r="AJ55" s="76" t="str">
        <x:f>IF(AND(AJ$10&gt;=$E55,AJ$10&lt;=$F55),"■","")</x:f>
        <x:v>■</x:v>
      </x:c>
      <x:c r="AK55" s="76" t="str">
        <x:f>IF(AND(AK$10&gt;=$E55,AK$10&lt;=$F55),"■","")</x:f>
        <x:v>■</x:v>
      </x:c>
      <x:c r="AL55" s="76" t="str">
        <x:f>IF(AND(AL$10&gt;=$E55,AL$10&lt;=$F55),"■","")</x:f>
        <x:v>■</x:v>
      </x:c>
      <x:c r="AM55" s="76" t="str">
        <x:f>IF(AND(AM$10&gt;=$E55,AM$10&lt;=$F55),"■","")</x:f>
        <x:v>■</x:v>
      </x:c>
      <x:c r="AN55" s="76" t="str">
        <x:f>IF(AND(AN$10&gt;=$E55,AN$10&lt;=$F55),"■","")</x:f>
        <x:v>■</x:v>
      </x:c>
    </x:row>
    <x:row r="56" ht="38" customHeight="1">
      <x:c r="A56" s="86" t="n">
        <x:v>46</x:v>
      </x:c>
      <x:c r="B56" s="86" t="str">
        <x:v>月度基础经营</x:v>
      </x:c>
      <x:c r="C56" s="86" t="str">
        <x:v>内部经营</x:v>
      </x:c>
      <x:c r="D56" s="86" t="str">
        <x:v>客诉分类与整改闭环</x:v>
      </x:c>
      <x:c r="E56" s="87" t="n">
        <x:v>46296</x:v>
      </x:c>
      <x:c r="F56" s="87" t="n">
        <x:v>46326</x:v>
      </x:c>
      <x:c r="G56" s="88" t="n">
        <x:f>F56-E56+1</x:f>
        <x:v>31</x:v>
      </x:c>
      <x:c r="H56" s="86" t="str">
        <x:v>问题类型、责任环节、整改和复查结果完整</x:v>
      </x:c>
      <x:c r="I56" s="86" t="str"/>
      <x:c r="J56" s="76" t="str">
        <x:f>IF(AND(J$10&gt;=$E56,J$10&lt;=$F56),"■","")</x:f>
        <x:v>■</x:v>
      </x:c>
      <x:c r="K56" s="76" t="str">
        <x:f>IF(AND(K$10&gt;=$E56,K$10&lt;=$F56),"■","")</x:f>
        <x:v>■</x:v>
      </x:c>
      <x:c r="L56" s="76" t="str">
        <x:f>IF(AND(L$10&gt;=$E56,L$10&lt;=$F56),"■","")</x:f>
        <x:v>■</x:v>
      </x:c>
      <x:c r="M56" s="76" t="str">
        <x:f>IF(AND(M$10&gt;=$E56,M$10&lt;=$F56),"■","")</x:f>
        <x:v>■</x:v>
      </x:c>
      <x:c r="N56" s="76" t="str">
        <x:f>IF(AND(N$10&gt;=$E56,N$10&lt;=$F56),"■","")</x:f>
        <x:v>■</x:v>
      </x:c>
      <x:c r="O56" s="76" t="str">
        <x:f>IF(AND(O$10&gt;=$E56,O$10&lt;=$F56),"■","")</x:f>
        <x:v>■</x:v>
      </x:c>
      <x:c r="P56" s="76" t="str">
        <x:f>IF(AND(P$10&gt;=$E56,P$10&lt;=$F56),"■","")</x:f>
        <x:v>■</x:v>
      </x:c>
      <x:c r="Q56" s="76" t="str">
        <x:f>IF(AND(Q$10&gt;=$E56,Q$10&lt;=$F56),"■","")</x:f>
        <x:v>■</x:v>
      </x:c>
      <x:c r="R56" s="76" t="str">
        <x:f>IF(AND(R$10&gt;=$E56,R$10&lt;=$F56),"■","")</x:f>
        <x:v>■</x:v>
      </x:c>
      <x:c r="S56" s="76" t="str">
        <x:f>IF(AND(S$10&gt;=$E56,S$10&lt;=$F56),"■","")</x:f>
        <x:v>■</x:v>
      </x:c>
      <x:c r="T56" s="76" t="str">
        <x:f>IF(AND(T$10&gt;=$E56,T$10&lt;=$F56),"■","")</x:f>
        <x:v>■</x:v>
      </x:c>
      <x:c r="U56" s="76" t="str">
        <x:f>IF(AND(U$10&gt;=$E56,U$10&lt;=$F56),"■","")</x:f>
        <x:v>■</x:v>
      </x:c>
      <x:c r="V56" s="76" t="str">
        <x:f>IF(AND(V$10&gt;=$E56,V$10&lt;=$F56),"■","")</x:f>
        <x:v>■</x:v>
      </x:c>
      <x:c r="W56" s="76" t="str">
        <x:f>IF(AND(W$10&gt;=$E56,W$10&lt;=$F56),"■","")</x:f>
        <x:v>■</x:v>
      </x:c>
      <x:c r="X56" s="76" t="str">
        <x:f>IF(AND(X$10&gt;=$E56,X$10&lt;=$F56),"■","")</x:f>
        <x:v>■</x:v>
      </x:c>
      <x:c r="Y56" s="76" t="str">
        <x:f>IF(AND(Y$10&gt;=$E56,Y$10&lt;=$F56),"■","")</x:f>
        <x:v>■</x:v>
      </x:c>
      <x:c r="Z56" s="76" t="str">
        <x:f>IF(AND(Z$10&gt;=$E56,Z$10&lt;=$F56),"■","")</x:f>
        <x:v>■</x:v>
      </x:c>
      <x:c r="AA56" s="76" t="str">
        <x:f>IF(AND(AA$10&gt;=$E56,AA$10&lt;=$F56),"■","")</x:f>
        <x:v>■</x:v>
      </x:c>
      <x:c r="AB56" s="76" t="str">
        <x:f>IF(AND(AB$10&gt;=$E56,AB$10&lt;=$F56),"■","")</x:f>
        <x:v>■</x:v>
      </x:c>
      <x:c r="AC56" s="76" t="str">
        <x:f>IF(AND(AC$10&gt;=$E56,AC$10&lt;=$F56),"■","")</x:f>
        <x:v>■</x:v>
      </x:c>
      <x:c r="AD56" s="76" t="str">
        <x:f>IF(AND(AD$10&gt;=$E56,AD$10&lt;=$F56),"■","")</x:f>
        <x:v>■</x:v>
      </x:c>
      <x:c r="AE56" s="76" t="str">
        <x:f>IF(AND(AE$10&gt;=$E56,AE$10&lt;=$F56),"■","")</x:f>
        <x:v>■</x:v>
      </x:c>
      <x:c r="AF56" s="76" t="str">
        <x:f>IF(AND(AF$10&gt;=$E56,AF$10&lt;=$F56),"■","")</x:f>
        <x:v>■</x:v>
      </x:c>
      <x:c r="AG56" s="76" t="str">
        <x:f>IF(AND(AG$10&gt;=$E56,AG$10&lt;=$F56),"■","")</x:f>
        <x:v>■</x:v>
      </x:c>
      <x:c r="AH56" s="76" t="str">
        <x:f>IF(AND(AH$10&gt;=$E56,AH$10&lt;=$F56),"■","")</x:f>
        <x:v>■</x:v>
      </x:c>
      <x:c r="AI56" s="76" t="str">
        <x:f>IF(AND(AI$10&gt;=$E56,AI$10&lt;=$F56),"■","")</x:f>
        <x:v>■</x:v>
      </x:c>
      <x:c r="AJ56" s="76" t="str">
        <x:f>IF(AND(AJ$10&gt;=$E56,AJ$10&lt;=$F56),"■","")</x:f>
        <x:v>■</x:v>
      </x:c>
      <x:c r="AK56" s="76" t="str">
        <x:f>IF(AND(AK$10&gt;=$E56,AK$10&lt;=$F56),"■","")</x:f>
        <x:v>■</x:v>
      </x:c>
      <x:c r="AL56" s="76" t="str">
        <x:f>IF(AND(AL$10&gt;=$E56,AL$10&lt;=$F56),"■","")</x:f>
        <x:v>■</x:v>
      </x:c>
      <x:c r="AM56" s="76" t="str">
        <x:f>IF(AND(AM$10&gt;=$E56,AM$10&lt;=$F56),"■","")</x:f>
        <x:v>■</x:v>
      </x:c>
      <x:c r="AN56" s="76" t="str">
        <x:f>IF(AND(AN$10&gt;=$E56,AN$10&lt;=$F56),"■","")</x:f>
        <x:v>■</x:v>
      </x:c>
    </x:row>
    <x:row r="57" ht="38" customHeight="1">
      <x:c r="A57" s="89" t="n">
        <x:v>47</x:v>
      </x:c>
      <x:c r="B57" s="89" t="str">
        <x:v>11 月跨月准备</x:v>
      </x:c>
      <x:c r="C57" s="89" t="str">
        <x:v>内部经营</x:v>
      </x:c>
      <x:c r="D57" s="89" t="str">
        <x:v>11 月货盘、会员动作与资源排期</x:v>
      </x:c>
      <x:c r="E57" s="90" t="n">
        <x:v>46319</x:v>
      </x:c>
      <x:c r="F57" s="90" t="n">
        <x:v>46326</x:v>
      </x:c>
      <x:c r="G57" s="91" t="n">
        <x:f>F57-E57+1</x:f>
        <x:v>8</x:v>
      </x:c>
      <x:c r="H57" s="89" t="str">
        <x:v>产品、库存、内容、投放和人员前置项确认</x:v>
      </x:c>
      <x:c r="I57" s="89" t="str"/>
      <x:c r="J57" s="76" t="str">
        <x:f>IF(AND(J$10&gt;=$E57,J$10&lt;=$F57),"■","")</x:f>
      </x:c>
      <x:c r="K57" s="76" t="str">
        <x:f>IF(AND(K$10&gt;=$E57,K$10&lt;=$F57),"■","")</x:f>
      </x:c>
      <x:c r="L57" s="76" t="str">
        <x:f>IF(AND(L$10&gt;=$E57,L$10&lt;=$F57),"■","")</x:f>
      </x:c>
      <x:c r="M57" s="76" t="str">
        <x:f>IF(AND(M$10&gt;=$E57,M$10&lt;=$F57),"■","")</x:f>
      </x:c>
      <x:c r="N57" s="76" t="str">
        <x:f>IF(AND(N$10&gt;=$E57,N$10&lt;=$F57),"■","")</x:f>
      </x:c>
      <x:c r="O57" s="76" t="str">
        <x:f>IF(AND(O$10&gt;=$E57,O$10&lt;=$F57),"■","")</x:f>
      </x:c>
      <x:c r="P57" s="76" t="str">
        <x:f>IF(AND(P$10&gt;=$E57,P$10&lt;=$F57),"■","")</x:f>
      </x:c>
      <x:c r="Q57" s="76" t="str">
        <x:f>IF(AND(Q$10&gt;=$E57,Q$10&lt;=$F57),"■","")</x:f>
      </x:c>
      <x:c r="R57" s="76" t="str">
        <x:f>IF(AND(R$10&gt;=$E57,R$10&lt;=$F57),"■","")</x:f>
      </x:c>
      <x:c r="S57" s="76" t="str">
        <x:f>IF(AND(S$10&gt;=$E57,S$10&lt;=$F57),"■","")</x:f>
      </x:c>
      <x:c r="T57" s="76" t="str">
        <x:f>IF(AND(T$10&gt;=$E57,T$10&lt;=$F57),"■","")</x:f>
      </x:c>
      <x:c r="U57" s="76" t="str">
        <x:f>IF(AND(U$10&gt;=$E57,U$10&lt;=$F57),"■","")</x:f>
      </x:c>
      <x:c r="V57" s="76" t="str">
        <x:f>IF(AND(V$10&gt;=$E57,V$10&lt;=$F57),"■","")</x:f>
      </x:c>
      <x:c r="W57" s="76" t="str">
        <x:f>IF(AND(W$10&gt;=$E57,W$10&lt;=$F57),"■","")</x:f>
      </x:c>
      <x:c r="X57" s="76" t="str">
        <x:f>IF(AND(X$10&gt;=$E57,X$10&lt;=$F57),"■","")</x:f>
      </x:c>
      <x:c r="Y57" s="76" t="str">
        <x:f>IF(AND(Y$10&gt;=$E57,Y$10&lt;=$F57),"■","")</x:f>
      </x:c>
      <x:c r="Z57" s="76" t="str">
        <x:f>IF(AND(Z$10&gt;=$E57,Z$10&lt;=$F57),"■","")</x:f>
      </x:c>
      <x:c r="AA57" s="76" t="str">
        <x:f>IF(AND(AA$10&gt;=$E57,AA$10&lt;=$F57),"■","")</x:f>
      </x:c>
      <x:c r="AB57" s="76" t="str">
        <x:f>IF(AND(AB$10&gt;=$E57,AB$10&lt;=$F57),"■","")</x:f>
      </x:c>
      <x:c r="AC57" s="76" t="str">
        <x:f>IF(AND(AC$10&gt;=$E57,AC$10&lt;=$F57),"■","")</x:f>
      </x:c>
      <x:c r="AD57" s="76" t="str">
        <x:f>IF(AND(AD$10&gt;=$E57,AD$10&lt;=$F57),"■","")</x:f>
      </x:c>
      <x:c r="AE57" s="76" t="str">
        <x:f>IF(AND(AE$10&gt;=$E57,AE$10&lt;=$F57),"■","")</x:f>
      </x:c>
      <x:c r="AF57" s="76" t="str">
        <x:f>IF(AND(AF$10&gt;=$E57,AF$10&lt;=$F57),"■","")</x:f>
      </x:c>
      <x:c r="AG57" s="76" t="str">
        <x:f>IF(AND(AG$10&gt;=$E57,AG$10&lt;=$F57),"■","")</x:f>
        <x:v>■</x:v>
      </x:c>
      <x:c r="AH57" s="76" t="str">
        <x:f>IF(AND(AH$10&gt;=$E57,AH$10&lt;=$F57),"■","")</x:f>
        <x:v>■</x:v>
      </x:c>
      <x:c r="AI57" s="76" t="str">
        <x:f>IF(AND(AI$10&gt;=$E57,AI$10&lt;=$F57),"■","")</x:f>
        <x:v>■</x:v>
      </x:c>
      <x:c r="AJ57" s="76" t="str">
        <x:f>IF(AND(AJ$10&gt;=$E57,AJ$10&lt;=$F57),"■","")</x:f>
        <x:v>■</x:v>
      </x:c>
      <x:c r="AK57" s="76" t="str">
        <x:f>IF(AND(AK$10&gt;=$E57,AK$10&lt;=$F57),"■","")</x:f>
        <x:v>■</x:v>
      </x:c>
      <x:c r="AL57" s="76" t="str">
        <x:f>IF(AND(AL$10&gt;=$E57,AL$10&lt;=$F57),"■","")</x:f>
        <x:v>■</x:v>
      </x:c>
      <x:c r="AM57" s="76" t="str">
        <x:f>IF(AND(AM$10&gt;=$E57,AM$10&lt;=$F57),"■","")</x:f>
        <x:v>■</x:v>
      </x:c>
      <x:c r="AN57" s="76" t="str">
        <x:f>IF(AND(AN$10&gt;=$E57,AN$10&lt;=$F57),"■","")</x:f>
        <x:v>■</x:v>
      </x:c>
    </x:row>
  </x:sheetData>
  <x:mergeCells>
    <x:mergeCell ref="A1:AN1"/>
    <x:mergeCell ref="A2:AN2"/>
    <x:mergeCell ref="A3:H3"/>
    <x:mergeCell ref="B4:H4"/>
    <x:mergeCell ref="B5:H5"/>
    <x:mergeCell ref="B6:H6"/>
    <x:mergeCell ref="B7:H7"/>
    <x:mergeCell ref="B8:H8"/>
  </x:mergeCells>
  <x:conditionalFormatting sqref="J11:AN57">
    <x:cfRule type="containsText" dxfId="0" priority="1" operator="containsText" text="■"/>
  </x:conditionalFormatting>
  <x:pageMargins left="0.7" right="0.7" top="0.75" bottom="0.75" header="0.3" footer="0.3"/>
</x:worksheet>
</file>